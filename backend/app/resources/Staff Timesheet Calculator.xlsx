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" sheetId="1" r:id="rId5"/>
    <sheet state="visible" name="Karen" sheetId="2" r:id="rId6"/>
    <sheet state="visible" name="Ren" sheetId="3" r:id="rId7"/>
    <sheet state="visible" name="Rica" sheetId="4" r:id="rId8"/>
  </sheets>
  <definedNames/>
  <calcPr/>
</workbook>
</file>

<file path=xl/sharedStrings.xml><?xml version="1.0" encoding="utf-8"?>
<sst xmlns="http://schemas.openxmlformats.org/spreadsheetml/2006/main" count="251" uniqueCount="57">
  <si>
    <r>
      <rPr>
        <rFont val="EB Garamond"/>
        <b/>
        <color rgb="FFFFFFFF"/>
        <sz val="23.0"/>
      </rPr>
      <t xml:space="preserve">Staff: </t>
    </r>
    <r>
      <rPr>
        <rFont val="EB Garamond"/>
        <b val="0"/>
        <color rgb="FFFFFFFF"/>
        <sz val="23.0"/>
      </rPr>
      <t>Che</t>
    </r>
  </si>
  <si>
    <t>Rate</t>
  </si>
  <si>
    <t>P</t>
  </si>
  <si>
    <t>Hours per shift</t>
  </si>
  <si>
    <t>Total number of working hours</t>
  </si>
  <si>
    <t>Rate/ hour</t>
  </si>
  <si>
    <t>Payroll Period</t>
  </si>
  <si>
    <t>July 1-15 2026</t>
  </si>
  <si>
    <t>May 17- May 27, 2025</t>
  </si>
  <si>
    <t>Date</t>
  </si>
  <si>
    <t>Start</t>
  </si>
  <si>
    <t>End</t>
  </si>
  <si>
    <t>Total Hours</t>
  </si>
  <si>
    <t>Total Pay</t>
  </si>
  <si>
    <t xml:space="preserve"> July 1- 15, 2025</t>
  </si>
  <si>
    <t>Total Payroll Period Hours</t>
  </si>
  <si>
    <t>Total Payroll Working Days</t>
  </si>
  <si>
    <r>
      <rPr>
        <rFont val="EB Garamond"/>
        <b/>
        <color rgb="FFFFFFFF"/>
        <sz val="23.0"/>
      </rPr>
      <t xml:space="preserve">Staff: </t>
    </r>
    <r>
      <rPr>
        <rFont val="EB Garamond"/>
        <b val="0"/>
        <color rgb="FFFFFFFF"/>
        <sz val="23.0"/>
      </rPr>
      <t>Che</t>
    </r>
  </si>
  <si>
    <t>Paid Work</t>
  </si>
  <si>
    <t>Transpo Allowance</t>
  </si>
  <si>
    <t>Birthday Incentive</t>
  </si>
  <si>
    <t xml:space="preserve">Total Pay </t>
  </si>
  <si>
    <t>Status</t>
  </si>
  <si>
    <t>Sent</t>
  </si>
  <si>
    <t>Remarks</t>
  </si>
  <si>
    <r>
      <rPr>
        <rFont val="EB Garamond"/>
        <b/>
        <color rgb="FFFFFFFF"/>
        <sz val="23.0"/>
      </rPr>
      <t xml:space="preserve">Staff: </t>
    </r>
    <r>
      <rPr>
        <rFont val="EB Garamond"/>
        <b val="0"/>
        <color rgb="FFFFFFFF"/>
        <sz val="23.0"/>
      </rPr>
      <t xml:space="preserve">Karen </t>
    </r>
  </si>
  <si>
    <t>CASH ADVANCE</t>
  </si>
  <si>
    <t>Amount</t>
  </si>
  <si>
    <t>done</t>
  </si>
  <si>
    <t>July 2- 17, 2026</t>
  </si>
  <si>
    <t>Dec 20, 2025- Jan 26, 2026</t>
  </si>
  <si>
    <t>NEXT PAY</t>
  </si>
  <si>
    <t>Load</t>
  </si>
  <si>
    <t>ADDED HOURS FOR CORRESPONDENCE WITH CLIENTS</t>
  </si>
  <si>
    <t>OK until here</t>
  </si>
  <si>
    <t>Pay day and 8/12</t>
  </si>
  <si>
    <t>SENT 18/2</t>
  </si>
  <si>
    <t>SENT</t>
  </si>
  <si>
    <t xml:space="preserve">Cas </t>
  </si>
  <si>
    <r>
      <rPr>
        <rFont val="EB Garamond"/>
        <b/>
        <color rgb="FFFFFFFF"/>
        <sz val="23.0"/>
      </rPr>
      <t xml:space="preserve">Staff: </t>
    </r>
    <r>
      <rPr>
        <rFont val="EB Garamond"/>
        <b val="0"/>
        <color rgb="FFFFFFFF"/>
        <sz val="23.0"/>
      </rPr>
      <t xml:space="preserve">Karen </t>
    </r>
  </si>
  <si>
    <t>Service+ Reimbursement</t>
  </si>
  <si>
    <t>Paid</t>
  </si>
  <si>
    <t>NEGATIVE FROM LAST PAY -105.30</t>
  </si>
  <si>
    <t>Cash advance</t>
  </si>
  <si>
    <t>Sent May 15</t>
  </si>
  <si>
    <t xml:space="preserve">Subtotal Pay </t>
  </si>
  <si>
    <t>Hindi pa nasingil last time:</t>
  </si>
  <si>
    <t>Sent Mar 7</t>
  </si>
  <si>
    <t xml:space="preserve">Grand Total Pay </t>
  </si>
  <si>
    <r>
      <t xml:space="preserve">Staff: </t>
    </r>
    <r>
      <rPr>
        <rFont val="EB Garamond"/>
        <b val="0"/>
        <color rgb="FFFFFFFF"/>
        <sz val="23.0"/>
      </rPr>
      <t xml:space="preserve">Ren </t>
    </r>
  </si>
  <si>
    <t>July 2-15, 2026</t>
  </si>
  <si>
    <r>
      <t>Staff: Ren</t>
    </r>
    <r>
      <rPr>
        <rFont val="EB Garamond"/>
        <b val="0"/>
        <color rgb="FFFFFFFF"/>
        <sz val="23.0"/>
      </rPr>
      <t xml:space="preserve"> </t>
    </r>
  </si>
  <si>
    <r>
      <rPr>
        <rFont val="EB Garamond"/>
        <b/>
        <color rgb="FFFFFFFF"/>
        <sz val="23.0"/>
      </rPr>
      <t xml:space="preserve">Staff: </t>
    </r>
    <r>
      <rPr>
        <rFont val="EB Garamond"/>
        <b val="0"/>
        <color rgb="FFFFFFFF"/>
        <sz val="23.0"/>
      </rPr>
      <t>Rica</t>
    </r>
  </si>
  <si>
    <t>April 7-14, 2026</t>
  </si>
  <si>
    <t xml:space="preserve"> June 20-30, 2025</t>
  </si>
  <si>
    <r>
      <rPr>
        <rFont val="EB Garamond"/>
        <b/>
        <color rgb="FFFFFFFF"/>
        <sz val="23.0"/>
      </rPr>
      <t xml:space="preserve">Staff: </t>
    </r>
    <r>
      <rPr>
        <rFont val="EB Garamond"/>
        <b val="0"/>
        <color rgb="FFFFFFFF"/>
        <sz val="23.0"/>
      </rPr>
      <t>Rica</t>
    </r>
  </si>
  <si>
    <t>Incentives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</si>
</sst>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h:mm am/pm"/>
    <numFmt numFmtId="166" formatCode="h:mm:ss am/pm"/>
    <numFmt numFmtId="167" formatCode="0.0"/>
    <numFmt numFmtId="168" formatCode="#,##0.0"/>
    <numFmt numFmtId="169" formatCode="m/d"/>
    <numFmt numFmtId="170" formatCode="m-d"/>
  </numFmts>
  <fonts count="44">
    <font>
      <sz val="10.0"/>
      <color rgb="FF000000"/>
      <name val="Arial"/>
      <scheme val="minor"/>
    </font>
    <font>
      <color theme="1"/>
      <name val="Arial"/>
    </font>
    <font>
      <b/>
      <sz val="23.0"/>
      <color rgb="FFFFFFFF"/>
      <name val="EB Garamond"/>
    </font>
    <font>
      <b/>
      <sz val="16.0"/>
      <color theme="1"/>
      <name val="EB Garamond"/>
    </font>
    <font>
      <b/>
      <sz val="17.0"/>
      <color theme="1"/>
      <name val="EB Garamond"/>
    </font>
    <font/>
    <font>
      <b/>
      <sz val="16.0"/>
      <color rgb="FFFFFFFF"/>
      <name val="EB Garamond"/>
    </font>
    <font>
      <b/>
      <sz val="15.0"/>
      <color rgb="FFFFFFFF"/>
      <name val="EB Garamond"/>
    </font>
    <font>
      <b/>
      <sz val="11.0"/>
      <color theme="1"/>
      <name val="EB Garamond"/>
    </font>
    <font>
      <b/>
      <sz val="21.0"/>
      <color rgb="FFFFFFFF"/>
      <name val="EB Garamond"/>
    </font>
    <font>
      <sz val="21.0"/>
      <color theme="1"/>
      <name val="EB Garamond"/>
    </font>
    <font>
      <b/>
      <sz val="11.0"/>
      <color rgb="FFFFFFFF"/>
      <name val="EB Garamond"/>
    </font>
    <font>
      <sz val="20.0"/>
      <color theme="1"/>
      <name val="EB Garamond"/>
    </font>
    <font>
      <sz val="11.0"/>
      <color theme="1"/>
      <name val="EB Garamond"/>
    </font>
    <font>
      <b/>
      <sz val="14.0"/>
      <color theme="1"/>
      <name val="EB Garamond"/>
    </font>
    <font>
      <b/>
      <sz val="10.0"/>
      <color rgb="FFFFFFFF"/>
      <name val="EB Garamond"/>
    </font>
    <font>
      <b/>
      <sz val="12.0"/>
      <color rgb="FFFFFFFF"/>
      <name val="EB Garamond"/>
    </font>
    <font>
      <b/>
      <sz val="13.0"/>
      <color rgb="FFFFFFFF"/>
      <name val="EB Garamond"/>
    </font>
    <font>
      <color theme="1"/>
      <name val="Arial"/>
      <scheme val="minor"/>
    </font>
    <font>
      <b/>
      <sz val="20.0"/>
      <color theme="1"/>
      <name val="EB Garamond"/>
    </font>
    <font>
      <b/>
      <sz val="18.0"/>
      <color theme="1"/>
      <name val="EB Garamond"/>
    </font>
    <font>
      <sz val="12.0"/>
      <color theme="1"/>
      <name val="EB Garamond"/>
    </font>
    <font>
      <color theme="1"/>
      <name val="EB Garamond"/>
    </font>
    <font>
      <b/>
      <sz val="8.0"/>
      <color theme="1"/>
      <name val="EB Garamond"/>
    </font>
    <font>
      <b/>
      <sz val="17.0"/>
      <color rgb="FFFFFFFF"/>
      <name val="EB Garamond"/>
    </font>
    <font>
      <b/>
      <sz val="16.0"/>
      <color rgb="FF000000"/>
      <name val="EB Garamond"/>
    </font>
    <font>
      <b/>
      <sz val="17.0"/>
      <color rgb="FF000000"/>
      <name val="EB Garamond"/>
    </font>
    <font>
      <b/>
      <color theme="1"/>
      <name val="EB Garamond"/>
    </font>
    <font>
      <b/>
      <sz val="21.0"/>
      <color theme="1"/>
      <name val="EB Garamond"/>
    </font>
    <font>
      <b/>
      <sz val="13.0"/>
      <color theme="1"/>
      <name val="EB Garamond"/>
    </font>
    <font>
      <b/>
      <sz val="15.0"/>
      <color theme="1"/>
      <name val="EB Garamond"/>
    </font>
    <font>
      <b/>
      <sz val="10.0"/>
      <color rgb="FF000000"/>
      <name val="EB Garamond"/>
    </font>
    <font>
      <sz val="20.0"/>
      <color rgb="FF000000"/>
      <name val="EB Garamond"/>
    </font>
    <font>
      <b/>
      <sz val="20.0"/>
      <color rgb="FF000000"/>
      <name val="EB Garamond"/>
    </font>
    <font>
      <color rgb="FF000000"/>
      <name val="Arial"/>
    </font>
    <font>
      <color rgb="FF000000"/>
      <name val="Arial"/>
      <scheme val="minor"/>
    </font>
    <font>
      <b/>
      <sz val="11.0"/>
      <color rgb="FF000000"/>
      <name val="EB Garamond"/>
    </font>
    <font>
      <sz val="11.0"/>
      <color rgb="FF000000"/>
      <name val="EB Garamond"/>
    </font>
    <font>
      <b/>
      <sz val="14.0"/>
      <color rgb="FF000000"/>
      <name val="EB Garamond"/>
    </font>
    <font>
      <b/>
      <sz val="15.0"/>
      <color rgb="FF000000"/>
      <name val="EB Garamond"/>
    </font>
    <font>
      <b/>
      <color theme="1"/>
      <name val="Arial"/>
    </font>
    <font>
      <sz val="6.0"/>
      <color theme="1"/>
      <name val="Arial"/>
    </font>
    <font>
      <sz val="9.0"/>
      <color theme="1"/>
      <name val="EB Garamond"/>
    </font>
    <font>
      <b/>
      <sz val="8.0"/>
      <color rgb="FF000000"/>
      <name val="EB Garamond"/>
    </font>
  </fonts>
  <fills count="14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FFFAEB"/>
        <bgColor rgb="FFFFFAEB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FFBEFF"/>
        <bgColor rgb="FFFFBEFF"/>
      </patternFill>
    </fill>
    <fill>
      <patternFill patternType="solid">
        <fgColor rgb="FF4A86E8"/>
        <bgColor rgb="FF4A86E8"/>
      </patternFill>
    </fill>
    <fill>
      <patternFill patternType="solid">
        <fgColor rgb="FF6FA8DC"/>
        <bgColor rgb="FF6FA8DC"/>
      </patternFill>
    </fill>
    <fill>
      <patternFill patternType="solid">
        <fgColor rgb="FFE69138"/>
        <bgColor rgb="FFE69138"/>
      </patternFill>
    </fill>
    <fill>
      <patternFill patternType="solid">
        <fgColor rgb="FF3D85C6"/>
        <bgColor rgb="FF3D85C6"/>
      </patternFill>
    </fill>
    <fill>
      <patternFill patternType="solid">
        <fgColor rgb="FF9900FF"/>
        <bgColor rgb="FF9900FF"/>
      </patternFill>
    </fill>
    <fill>
      <patternFill patternType="solid">
        <fgColor rgb="FF980000"/>
        <bgColor rgb="FF980000"/>
      </patternFill>
    </fill>
    <fill>
      <patternFill patternType="solid">
        <fgColor rgb="FF0000FF"/>
        <bgColor rgb="FF0000FF"/>
      </patternFill>
    </fill>
  </fills>
  <borders count="30">
    <border/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73763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73763"/>
      </right>
      <bottom style="medium">
        <color rgb="FF000000"/>
      </bottom>
    </border>
    <border>
      <right style="thin">
        <color rgb="FF073763"/>
      </right>
      <bottom style="medium">
        <color rgb="FF000000"/>
      </bottom>
    </border>
    <border>
      <left style="thin">
        <color rgb="FF000000"/>
      </left>
      <right style="thin">
        <color rgb="FF073763"/>
      </right>
      <bottom style="thin">
        <color rgb="FF073763"/>
      </bottom>
    </border>
    <border>
      <right style="thin">
        <color rgb="FF000000"/>
      </right>
      <bottom style="thin">
        <color rgb="FF073763"/>
      </bottom>
    </border>
    <border>
      <left style="thin">
        <color rgb="FF000000"/>
      </left>
      <right style="thin">
        <color rgb="FF073763"/>
      </right>
      <bottom style="thin">
        <color rgb="FF000000"/>
      </bottom>
    </border>
    <border>
      <left style="thin">
        <color rgb="FF000000"/>
      </left>
      <right style="thin">
        <color rgb="FF073763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73763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73763"/>
      </right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2" fontId="1" numFmtId="0" xfId="0" applyAlignment="1" applyFont="1">
      <alignment vertical="top"/>
    </xf>
    <xf borderId="0" fillId="3" fontId="1" numFmtId="0" xfId="0" applyAlignment="1" applyFill="1" applyFont="1">
      <alignment vertical="bottom"/>
    </xf>
    <xf borderId="1" fillId="3" fontId="1" numFmtId="0" xfId="0" applyAlignment="1" applyBorder="1" applyFont="1">
      <alignment vertical="bottom"/>
    </xf>
    <xf borderId="1" fillId="3" fontId="1" numFmtId="2" xfId="0" applyAlignment="1" applyBorder="1" applyFont="1" applyNumberFormat="1">
      <alignment vertical="bottom"/>
    </xf>
    <xf borderId="0" fillId="3" fontId="1" numFmtId="2" xfId="0" applyAlignment="1" applyFont="1" applyNumberFormat="1">
      <alignment vertical="bottom"/>
    </xf>
    <xf borderId="2" fillId="3" fontId="1" numFmtId="0" xfId="0" applyAlignment="1" applyBorder="1" applyFont="1">
      <alignment vertical="bottom"/>
    </xf>
    <xf borderId="3" fillId="4" fontId="3" numFmtId="0" xfId="0" applyAlignment="1" applyBorder="1" applyFill="1" applyFont="1">
      <alignment readingOrder="0" vertical="bottom"/>
    </xf>
    <xf borderId="4" fillId="4" fontId="4" numFmtId="0" xfId="0" applyAlignment="1" applyBorder="1" applyFont="1">
      <alignment horizontal="center" readingOrder="0" shrinkToFit="0" vertical="bottom" wrapText="1"/>
    </xf>
    <xf borderId="4" fillId="0" fontId="5" numFmtId="0" xfId="0" applyBorder="1" applyFont="1"/>
    <xf borderId="5" fillId="0" fontId="5" numFmtId="0" xfId="0" applyBorder="1" applyFont="1"/>
    <xf borderId="0" fillId="3" fontId="6" numFmtId="0" xfId="0" applyAlignment="1" applyFont="1">
      <alignment vertical="bottom"/>
    </xf>
    <xf borderId="0" fillId="3" fontId="6" numFmtId="0" xfId="0" applyAlignment="1" applyFont="1">
      <alignment horizontal="center" shrinkToFit="0" vertical="bottom" wrapText="1"/>
    </xf>
    <xf borderId="0" fillId="3" fontId="7" numFmtId="0" xfId="0" applyAlignment="1" applyFont="1">
      <alignment horizontal="center" shrinkToFit="0" vertical="bottom" wrapText="1"/>
    </xf>
    <xf borderId="0" fillId="3" fontId="6" numFmtId="0" xfId="0" applyAlignment="1" applyFont="1">
      <alignment horizontal="center" vertical="bottom"/>
    </xf>
    <xf borderId="0" fillId="3" fontId="8" numFmtId="0" xfId="0" applyAlignment="1" applyFont="1">
      <alignment horizontal="center" shrinkToFit="0" vertical="bottom" wrapText="1"/>
    </xf>
    <xf borderId="0" fillId="3" fontId="8" numFmtId="0" xfId="0" applyAlignment="1" applyFont="1">
      <alignment horizontal="center" shrinkToFit="0" wrapText="1"/>
    </xf>
    <xf borderId="6" fillId="3" fontId="1" numFmtId="0" xfId="0" applyAlignment="1" applyBorder="1" applyFont="1">
      <alignment vertical="bottom"/>
    </xf>
    <xf borderId="6" fillId="3" fontId="1" numFmtId="2" xfId="0" applyAlignment="1" applyBorder="1" applyFont="1" applyNumberFormat="1">
      <alignment vertical="bottom"/>
    </xf>
    <xf borderId="7" fillId="3" fontId="1" numFmtId="0" xfId="0" applyAlignment="1" applyBorder="1" applyFont="1">
      <alignment vertical="bottom"/>
    </xf>
    <xf borderId="6" fillId="2" fontId="9" numFmtId="0" xfId="0" applyAlignment="1" applyBorder="1" applyFont="1">
      <alignment horizontal="center" readingOrder="0" shrinkToFit="0" vertical="bottom" wrapText="1"/>
    </xf>
    <xf borderId="6" fillId="5" fontId="10" numFmtId="4" xfId="0" applyAlignment="1" applyBorder="1" applyFill="1" applyFont="1" applyNumberFormat="1">
      <alignment horizontal="center" readingOrder="0" shrinkToFit="0" vertical="bottom" wrapText="1"/>
    </xf>
    <xf borderId="8" fillId="5" fontId="10" numFmtId="2" xfId="0" applyAlignment="1" applyBorder="1" applyFont="1" applyNumberFormat="1">
      <alignment horizontal="center" readingOrder="0" shrinkToFit="0" vertical="bottom" wrapText="1"/>
    </xf>
    <xf borderId="9" fillId="2" fontId="11" numFmtId="0" xfId="0" applyAlignment="1" applyBorder="1" applyFont="1">
      <alignment horizontal="center" readingOrder="0" shrinkToFit="0" wrapText="1"/>
    </xf>
    <xf borderId="10" fillId="5" fontId="12" numFmtId="4" xfId="0" applyAlignment="1" applyBorder="1" applyFont="1" applyNumberFormat="1">
      <alignment horizontal="center" readingOrder="0" shrinkToFit="0" vertical="bottom" wrapText="1"/>
    </xf>
    <xf borderId="0" fillId="3" fontId="9" numFmtId="0" xfId="0" applyAlignment="1" applyFont="1">
      <alignment horizontal="center" shrinkToFit="0" vertical="bottom" wrapText="1"/>
    </xf>
    <xf borderId="0" fillId="3" fontId="10" numFmtId="4" xfId="0" applyAlignment="1" applyFont="1" applyNumberFormat="1">
      <alignment horizontal="center" shrinkToFit="0" vertical="bottom" wrapText="1"/>
    </xf>
    <xf borderId="0" fillId="3" fontId="10" numFmtId="2" xfId="0" applyAlignment="1" applyFont="1" applyNumberFormat="1">
      <alignment horizontal="center" shrinkToFit="0" vertical="bottom" wrapText="1"/>
    </xf>
    <xf borderId="0" fillId="3" fontId="11" numFmtId="0" xfId="0" applyAlignment="1" applyFont="1">
      <alignment horizontal="center" shrinkToFit="0" wrapText="1"/>
    </xf>
    <xf borderId="0" fillId="3" fontId="12" numFmtId="4" xfId="0" applyAlignment="1" applyFont="1" applyNumberFormat="1">
      <alignment horizontal="center" shrinkToFit="0" vertical="bottom" wrapText="1"/>
    </xf>
    <xf borderId="0" fillId="3" fontId="13" numFmtId="0" xfId="0" applyAlignment="1" applyFont="1">
      <alignment vertical="bottom"/>
    </xf>
    <xf borderId="0" fillId="3" fontId="13" numFmtId="0" xfId="0" applyAlignment="1" applyFont="1">
      <alignment horizontal="right" vertical="bottom"/>
    </xf>
    <xf borderId="0" fillId="3" fontId="14" numFmtId="0" xfId="0" applyAlignment="1" applyFont="1">
      <alignment horizontal="right" vertical="bottom"/>
    </xf>
    <xf borderId="11" fillId="2" fontId="15" numFmtId="0" xfId="0" applyAlignment="1" applyBorder="1" applyFont="1">
      <alignment horizontal="center" readingOrder="0" shrinkToFit="0" vertical="center" wrapText="1"/>
    </xf>
    <xf borderId="11" fillId="5" fontId="12" numFmtId="0" xfId="0" applyAlignment="1" applyBorder="1" applyFont="1">
      <alignment horizontal="right" readingOrder="0" shrinkToFit="0" vertical="bottom" wrapText="1"/>
    </xf>
    <xf borderId="9" fillId="2" fontId="16" numFmtId="0" xfId="0" applyAlignment="1" applyBorder="1" applyFont="1">
      <alignment horizontal="center" readingOrder="0" shrinkToFit="0" wrapText="1"/>
    </xf>
    <xf borderId="6" fillId="5" fontId="12" numFmtId="0" xfId="0" applyAlignment="1" applyBorder="1" applyFont="1">
      <alignment horizontal="right" readingOrder="0" shrinkToFit="0" vertical="bottom" wrapText="1"/>
    </xf>
    <xf borderId="8" fillId="5" fontId="12" numFmtId="2" xfId="0" applyAlignment="1" applyBorder="1" applyFont="1" applyNumberFormat="1">
      <alignment shrinkToFit="0" vertical="bottom" wrapText="1"/>
    </xf>
    <xf borderId="0" fillId="3" fontId="17" numFmtId="0" xfId="0" applyAlignment="1" applyFont="1">
      <alignment horizontal="center" shrinkToFit="0" vertical="bottom" wrapText="1"/>
    </xf>
    <xf borderId="0" fillId="3" fontId="12" numFmtId="0" xfId="0" applyAlignment="1" applyFont="1">
      <alignment horizontal="right" shrinkToFit="0" vertical="bottom" wrapText="1"/>
    </xf>
    <xf borderId="0" fillId="3" fontId="12" numFmtId="0" xfId="0" applyAlignment="1" applyFont="1">
      <alignment shrinkToFit="0" vertical="bottom" wrapText="1"/>
    </xf>
    <xf borderId="0" fillId="3" fontId="18" numFmtId="0" xfId="0" applyFont="1"/>
    <xf borderId="0" fillId="3" fontId="19" numFmtId="3" xfId="0" applyAlignment="1" applyFont="1" applyNumberFormat="1">
      <alignment horizontal="right" shrinkToFit="0" vertical="bottom" wrapText="1"/>
    </xf>
    <xf borderId="0" fillId="3" fontId="20" numFmtId="0" xfId="0" applyAlignment="1" applyFont="1">
      <alignment vertical="bottom"/>
    </xf>
    <xf borderId="0" fillId="3" fontId="21" numFmtId="0" xfId="0" applyAlignment="1" applyFont="1">
      <alignment horizontal="right" vertical="bottom"/>
    </xf>
    <xf borderId="0" fillId="3" fontId="22" numFmtId="0" xfId="0" applyAlignment="1" applyFont="1">
      <alignment vertical="bottom"/>
    </xf>
    <xf borderId="12" fillId="4" fontId="3" numFmtId="0" xfId="0" applyAlignment="1" applyBorder="1" applyFont="1">
      <alignment readingOrder="0" vertical="bottom"/>
    </xf>
    <xf borderId="13" fillId="4" fontId="4" numFmtId="0" xfId="0" applyAlignment="1" applyBorder="1" applyFont="1">
      <alignment horizontal="center" readingOrder="0" shrinkToFit="0" vertical="bottom" wrapText="1"/>
    </xf>
    <xf borderId="13" fillId="0" fontId="5" numFmtId="0" xfId="0" applyBorder="1" applyFont="1"/>
    <xf borderId="14" fillId="0" fontId="5" numFmtId="0" xfId="0" applyBorder="1" applyFont="1"/>
    <xf borderId="15" fillId="3" fontId="8" numFmtId="0" xfId="0" applyAlignment="1" applyBorder="1" applyFont="1">
      <alignment horizontal="center" readingOrder="0" shrinkToFit="0" wrapText="1"/>
    </xf>
    <xf borderId="16" fillId="3" fontId="8" numFmtId="0" xfId="0" applyAlignment="1" applyBorder="1" applyFont="1">
      <alignment horizontal="center" readingOrder="0" shrinkToFit="0" wrapText="1"/>
    </xf>
    <xf borderId="16" fillId="3" fontId="8" numFmtId="0" xfId="0" applyAlignment="1" applyBorder="1" applyFont="1">
      <alignment horizontal="center" shrinkToFit="0" wrapText="1"/>
    </xf>
    <xf borderId="0" fillId="3" fontId="23" numFmtId="0" xfId="0" applyAlignment="1" applyFont="1">
      <alignment horizontal="center" shrinkToFit="0" vertical="bottom" wrapText="1"/>
    </xf>
    <xf borderId="17" fillId="3" fontId="13" numFmtId="164" xfId="0" applyAlignment="1" applyBorder="1" applyFont="1" applyNumberFormat="1">
      <alignment readingOrder="0" vertical="bottom"/>
    </xf>
    <xf borderId="8" fillId="3" fontId="13" numFmtId="165" xfId="0" applyAlignment="1" applyBorder="1" applyFont="1" applyNumberFormat="1">
      <alignment horizontal="right" readingOrder="0" vertical="bottom"/>
    </xf>
    <xf borderId="10" fillId="3" fontId="13" numFmtId="166" xfId="0" applyAlignment="1" applyBorder="1" applyFont="1" applyNumberFormat="1">
      <alignment horizontal="right" readingOrder="0" vertical="bottom"/>
    </xf>
    <xf borderId="18" fillId="6" fontId="14" numFmtId="4" xfId="0" applyAlignment="1" applyBorder="1" applyFill="1" applyFont="1" applyNumberFormat="1">
      <alignment horizontal="right" vertical="bottom"/>
    </xf>
    <xf borderId="19" fillId="3" fontId="13" numFmtId="4" xfId="0" applyAlignment="1" applyBorder="1" applyFont="1" applyNumberFormat="1">
      <alignment vertical="bottom"/>
    </xf>
    <xf borderId="8" fillId="3" fontId="13" numFmtId="166" xfId="0" applyAlignment="1" applyBorder="1" applyFont="1" applyNumberFormat="1">
      <alignment horizontal="right" readingOrder="0" vertical="bottom"/>
    </xf>
    <xf borderId="0" fillId="3" fontId="13" numFmtId="4" xfId="0" applyAlignment="1" applyFont="1" applyNumberFormat="1">
      <alignment horizontal="right" vertical="bottom"/>
    </xf>
    <xf borderId="0" fillId="3" fontId="13" numFmtId="2" xfId="0" applyAlignment="1" applyFont="1" applyNumberFormat="1">
      <alignment horizontal="right" vertical="bottom"/>
    </xf>
    <xf borderId="0" fillId="3" fontId="13" numFmtId="167" xfId="0" applyAlignment="1" applyFont="1" applyNumberFormat="1">
      <alignment horizontal="right" vertical="bottom"/>
    </xf>
    <xf borderId="10" fillId="3" fontId="13" numFmtId="165" xfId="0" applyAlignment="1" applyBorder="1" applyFont="1" applyNumberFormat="1">
      <alignment horizontal="right" readingOrder="0" vertical="bottom"/>
    </xf>
    <xf borderId="17" fillId="3" fontId="1" numFmtId="164" xfId="0" applyAlignment="1" applyBorder="1" applyFont="1" applyNumberFormat="1">
      <alignment readingOrder="0" vertical="bottom"/>
    </xf>
    <xf borderId="0" fillId="3" fontId="1" numFmtId="167" xfId="0" applyAlignment="1" applyFont="1" applyNumberFormat="1">
      <alignment vertical="bottom"/>
    </xf>
    <xf borderId="0" fillId="3" fontId="1" numFmtId="4" xfId="0" applyAlignment="1" applyFont="1" applyNumberFormat="1">
      <alignment vertical="bottom"/>
    </xf>
    <xf borderId="0" fillId="3" fontId="8" numFmtId="0" xfId="0" applyAlignment="1" applyFont="1">
      <alignment vertical="bottom"/>
    </xf>
    <xf borderId="0" fillId="3" fontId="22" numFmtId="0" xfId="0" applyAlignment="1" applyFont="1">
      <alignment horizontal="right" vertical="bottom"/>
    </xf>
    <xf borderId="0" fillId="3" fontId="22" numFmtId="167" xfId="0" applyAlignment="1" applyFont="1" applyNumberFormat="1">
      <alignment horizontal="right" vertical="bottom"/>
    </xf>
    <xf borderId="0" fillId="3" fontId="22" numFmtId="2" xfId="0" applyAlignment="1" applyFont="1" applyNumberFormat="1">
      <alignment horizontal="right" vertical="bottom"/>
    </xf>
    <xf borderId="19" fillId="3" fontId="1" numFmtId="164" xfId="0" applyAlignment="1" applyBorder="1" applyFont="1" applyNumberFormat="1">
      <alignment vertical="bottom"/>
    </xf>
    <xf borderId="10" fillId="3" fontId="1" numFmtId="4" xfId="0" applyAlignment="1" applyBorder="1" applyFont="1" applyNumberFormat="1">
      <alignment vertical="bottom"/>
    </xf>
    <xf borderId="20" fillId="3" fontId="1" numFmtId="0" xfId="0" applyAlignment="1" applyBorder="1" applyFont="1">
      <alignment vertical="bottom"/>
    </xf>
    <xf borderId="8" fillId="6" fontId="1" numFmtId="0" xfId="0" applyAlignment="1" applyBorder="1" applyFont="1">
      <alignment vertical="bottom"/>
    </xf>
    <xf borderId="21" fillId="3" fontId="1" numFmtId="0" xfId="0" applyAlignment="1" applyBorder="1" applyFont="1">
      <alignment vertical="bottom"/>
    </xf>
    <xf borderId="6" fillId="2" fontId="7" numFmtId="0" xfId="0" applyAlignment="1" applyBorder="1" applyFont="1">
      <alignment horizontal="center" readingOrder="0" shrinkToFit="0" vertical="bottom" wrapText="1"/>
    </xf>
    <xf borderId="6" fillId="0" fontId="5" numFmtId="0" xfId="0" applyBorder="1" applyFont="1"/>
    <xf borderId="8" fillId="0" fontId="5" numFmtId="0" xfId="0" applyBorder="1" applyFont="1"/>
    <xf borderId="9" fillId="5" fontId="19" numFmtId="4" xfId="0" applyAlignment="1" applyBorder="1" applyFont="1" applyNumberFormat="1">
      <alignment horizontal="right" shrinkToFit="0" vertical="bottom" wrapText="1"/>
    </xf>
    <xf borderId="9" fillId="5" fontId="19" numFmtId="168" xfId="0" applyAlignment="1" applyBorder="1" applyFont="1" applyNumberFormat="1">
      <alignment horizontal="right" shrinkToFit="0" vertical="bottom" wrapText="1"/>
    </xf>
    <xf borderId="0" fillId="3" fontId="1" numFmtId="0" xfId="0" applyAlignment="1" applyFont="1">
      <alignment readingOrder="0" vertical="bottom"/>
    </xf>
    <xf borderId="6" fillId="7" fontId="7" numFmtId="0" xfId="0" applyAlignment="1" applyBorder="1" applyFill="1" applyFont="1">
      <alignment horizontal="center" readingOrder="0" shrinkToFit="0" vertical="bottom" wrapText="1"/>
    </xf>
    <xf borderId="9" fillId="5" fontId="19" numFmtId="168" xfId="0" applyAlignment="1" applyBorder="1" applyFont="1" applyNumberFormat="1">
      <alignment horizontal="right" readingOrder="0" shrinkToFit="0" vertical="bottom" wrapText="1"/>
    </xf>
    <xf borderId="0" fillId="3" fontId="24" numFmtId="0" xfId="0" applyAlignment="1" applyFont="1">
      <alignment horizontal="center" shrinkToFit="0" vertical="bottom" wrapText="1"/>
    </xf>
    <xf borderId="6" fillId="8" fontId="7" numFmtId="0" xfId="0" applyAlignment="1" applyBorder="1" applyFill="1" applyFont="1">
      <alignment horizontal="center" readingOrder="0" shrinkToFit="0" vertical="bottom" wrapText="1"/>
    </xf>
    <xf borderId="6" fillId="9" fontId="7" numFmtId="0" xfId="0" applyAlignment="1" applyBorder="1" applyFill="1" applyFont="1">
      <alignment horizontal="center" readingOrder="0" shrinkToFit="0" vertical="bottom" wrapText="1"/>
    </xf>
    <xf borderId="0" fillId="3" fontId="1" numFmtId="2" xfId="0" applyAlignment="1" applyFont="1" applyNumberFormat="1">
      <alignment readingOrder="0" vertical="bottom"/>
    </xf>
    <xf borderId="6" fillId="10" fontId="7" numFmtId="0" xfId="0" applyAlignment="1" applyBorder="1" applyFill="1" applyFont="1">
      <alignment horizontal="center" readingOrder="0" shrinkToFit="0" vertical="bottom" wrapText="1"/>
    </xf>
    <xf borderId="0" fillId="3" fontId="25" numFmtId="0" xfId="0" applyAlignment="1" applyFont="1">
      <alignment readingOrder="0" vertical="bottom"/>
    </xf>
    <xf borderId="0" fillId="3" fontId="26" numFmtId="0" xfId="0" applyAlignment="1" applyFont="1">
      <alignment horizontal="center" shrinkToFit="0" vertical="bottom" wrapText="1"/>
    </xf>
    <xf borderId="22" fillId="3" fontId="13" numFmtId="0" xfId="0" applyAlignment="1" applyBorder="1" applyFont="1">
      <alignment vertical="bottom"/>
    </xf>
    <xf borderId="23" fillId="0" fontId="5" numFmtId="0" xfId="0" applyBorder="1" applyFont="1"/>
    <xf borderId="24" fillId="0" fontId="5" numFmtId="0" xfId="0" applyBorder="1" applyFont="1"/>
    <xf borderId="25" fillId="0" fontId="5" numFmtId="0" xfId="0" applyBorder="1" applyFont="1"/>
    <xf borderId="7" fillId="0" fontId="5" numFmtId="0" xfId="0" applyBorder="1" applyFont="1"/>
    <xf borderId="26" fillId="0" fontId="5" numFmtId="0" xfId="0" applyBorder="1" applyFont="1"/>
    <xf borderId="0" fillId="3" fontId="27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3" fontId="4" numFmtId="0" xfId="0" applyAlignment="1" applyFont="1">
      <alignment horizontal="center" shrinkToFit="0" vertical="bottom" wrapText="1"/>
    </xf>
    <xf borderId="0" fillId="3" fontId="3" numFmtId="0" xfId="0" applyAlignment="1" applyFont="1">
      <alignment horizontal="center" vertical="bottom"/>
    </xf>
    <xf borderId="0" fillId="3" fontId="28" numFmtId="0" xfId="0" applyAlignment="1" applyFont="1">
      <alignment horizontal="center" shrinkToFit="0" vertical="bottom" wrapText="1"/>
    </xf>
    <xf borderId="0" fillId="3" fontId="29" numFmtId="0" xfId="0" applyAlignment="1" applyFont="1">
      <alignment horizontal="center" shrinkToFit="0" vertical="bottom" wrapText="1"/>
    </xf>
    <xf borderId="0" fillId="3" fontId="30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11" fontId="1" numFmtId="0" xfId="0" applyAlignment="1" applyFill="1" applyFont="1">
      <alignment vertical="bottom"/>
    </xf>
    <xf borderId="0" fillId="11" fontId="2" numFmtId="0" xfId="0" applyAlignment="1" applyFont="1">
      <alignment readingOrder="0" vertical="bottom"/>
    </xf>
    <xf borderId="0" fillId="11" fontId="1" numFmtId="0" xfId="0" applyAlignment="1" applyFont="1">
      <alignment vertical="top"/>
    </xf>
    <xf borderId="0" fillId="3" fontId="3" numFmtId="0" xfId="0" applyAlignment="1" applyFont="1">
      <alignment readingOrder="0" vertical="bottom"/>
    </xf>
    <xf borderId="0" fillId="3" fontId="4" numFmtId="0" xfId="0" applyAlignment="1" applyFont="1">
      <alignment horizontal="center" readingOrder="0" shrinkToFit="0" vertical="bottom" wrapText="1"/>
    </xf>
    <xf borderId="6" fillId="11" fontId="9" numFmtId="0" xfId="0" applyAlignment="1" applyBorder="1" applyFont="1">
      <alignment horizontal="center" readingOrder="0" shrinkToFit="0" vertical="bottom" wrapText="1"/>
    </xf>
    <xf borderId="9" fillId="11" fontId="11" numFmtId="0" xfId="0" applyAlignment="1" applyBorder="1" applyFont="1">
      <alignment horizontal="center" readingOrder="0" shrinkToFit="0" wrapText="1"/>
    </xf>
    <xf borderId="11" fillId="11" fontId="15" numFmtId="0" xfId="0" applyAlignment="1" applyBorder="1" applyFont="1">
      <alignment horizontal="center" readingOrder="0" shrinkToFit="0" vertical="center" wrapText="1"/>
    </xf>
    <xf borderId="9" fillId="11" fontId="16" numFmtId="0" xfId="0" applyAlignment="1" applyBorder="1" applyFont="1">
      <alignment horizontal="center" readingOrder="0" shrinkToFit="0" wrapText="1"/>
    </xf>
    <xf borderId="0" fillId="3" fontId="31" numFmtId="0" xfId="0" applyAlignment="1" applyFont="1">
      <alignment horizontal="center" readingOrder="0" shrinkToFit="0" vertical="center" wrapText="1"/>
    </xf>
    <xf borderId="0" fillId="3" fontId="32" numFmtId="0" xfId="0" applyAlignment="1" applyFont="1">
      <alignment horizontal="right" readingOrder="0" shrinkToFit="0" vertical="bottom" wrapText="1"/>
    </xf>
    <xf borderId="0" fillId="3" fontId="33" numFmtId="0" xfId="0" applyAlignment="1" applyFont="1">
      <alignment horizontal="right" readingOrder="0" shrinkToFit="0" vertical="bottom" wrapText="1"/>
    </xf>
    <xf borderId="0" fillId="3" fontId="32" numFmtId="2" xfId="0" applyAlignment="1" applyFont="1" applyNumberFormat="1">
      <alignment readingOrder="0" shrinkToFit="0" vertical="bottom" wrapText="1"/>
    </xf>
    <xf borderId="0" fillId="3" fontId="34" numFmtId="0" xfId="0" applyAlignment="1" applyFont="1">
      <alignment vertical="bottom"/>
    </xf>
    <xf borderId="0" fillId="3" fontId="35" numFmtId="0" xfId="0" applyFont="1"/>
    <xf borderId="0" fillId="3" fontId="33" numFmtId="0" xfId="0" applyAlignment="1" applyFont="1">
      <alignment horizontal="right" readingOrder="0"/>
    </xf>
    <xf borderId="0" fillId="3" fontId="33" numFmtId="0" xfId="0" applyAlignment="1" applyFont="1">
      <alignment horizontal="right" readingOrder="0" vertical="bottom"/>
    </xf>
    <xf borderId="0" fillId="3" fontId="26" numFmtId="0" xfId="0" applyAlignment="1" applyFont="1">
      <alignment horizontal="center" readingOrder="0" shrinkToFit="0" vertical="bottom" wrapText="1"/>
    </xf>
    <xf borderId="0" fillId="3" fontId="36" numFmtId="0" xfId="0" applyAlignment="1" applyFont="1">
      <alignment horizontal="center" readingOrder="0" shrinkToFit="0" wrapText="1"/>
    </xf>
    <xf borderId="0" fillId="3" fontId="33" numFmtId="0" xfId="0" applyAlignment="1" applyFont="1">
      <alignment horizontal="right" readingOrder="0" shrinkToFit="0" wrapText="1"/>
    </xf>
    <xf borderId="0" fillId="3" fontId="37" numFmtId="164" xfId="0" applyAlignment="1" applyFont="1" applyNumberFormat="1">
      <alignment readingOrder="0" vertical="bottom"/>
    </xf>
    <xf borderId="0" fillId="3" fontId="37" numFmtId="166" xfId="0" applyAlignment="1" applyFont="1" applyNumberFormat="1">
      <alignment horizontal="right" readingOrder="0" vertical="bottom"/>
    </xf>
    <xf borderId="0" fillId="3" fontId="33" numFmtId="4" xfId="0" applyAlignment="1" applyFont="1" applyNumberFormat="1">
      <alignment horizontal="right" readingOrder="0" vertical="bottom"/>
    </xf>
    <xf borderId="0" fillId="3" fontId="37" numFmtId="4" xfId="0" applyAlignment="1" applyFont="1" applyNumberFormat="1">
      <alignment vertical="bottom"/>
    </xf>
    <xf borderId="0" fillId="3" fontId="38" numFmtId="4" xfId="0" applyAlignment="1" applyFont="1" applyNumberFormat="1">
      <alignment horizontal="right" vertical="bottom"/>
    </xf>
    <xf borderId="0" fillId="3" fontId="34" numFmtId="164" xfId="0" applyAlignment="1" applyFont="1" applyNumberFormat="1">
      <alignment readingOrder="0" vertical="bottom"/>
    </xf>
    <xf borderId="0" fillId="3" fontId="37" numFmtId="4" xfId="0" applyAlignment="1" applyFont="1" applyNumberFormat="1">
      <alignment readingOrder="0" vertical="bottom"/>
    </xf>
    <xf borderId="0" fillId="3" fontId="37" numFmtId="0" xfId="0" applyAlignment="1" applyFont="1">
      <alignment readingOrder="0" vertical="bottom"/>
    </xf>
    <xf borderId="0" fillId="3" fontId="37" numFmtId="169" xfId="0" applyAlignment="1" applyFont="1" applyNumberFormat="1">
      <alignment readingOrder="0" vertical="bottom"/>
    </xf>
    <xf borderId="0" fillId="3" fontId="33" numFmtId="4" xfId="0" applyAlignment="1" applyFont="1" applyNumberFormat="1">
      <alignment horizontal="right" vertical="bottom"/>
    </xf>
    <xf borderId="0" fillId="3" fontId="13" numFmtId="0" xfId="0" applyAlignment="1" applyFont="1">
      <alignment readingOrder="0" vertical="bottom"/>
    </xf>
    <xf borderId="0" fillId="3" fontId="37" numFmtId="169" xfId="0" applyAlignment="1" applyFont="1" applyNumberFormat="1">
      <alignment horizontal="right" readingOrder="0" vertical="bottom"/>
    </xf>
    <xf borderId="0" fillId="3" fontId="38" numFmtId="4" xfId="0" applyAlignment="1" applyFont="1" applyNumberFormat="1">
      <alignment horizontal="right" readingOrder="0" vertical="bottom"/>
    </xf>
    <xf borderId="0" fillId="3" fontId="37" numFmtId="164" xfId="0" applyAlignment="1" applyFont="1" applyNumberFormat="1">
      <alignment vertical="bottom"/>
    </xf>
    <xf borderId="0" fillId="3" fontId="37" numFmtId="4" xfId="0" applyAlignment="1" applyFont="1" applyNumberFormat="1">
      <alignment horizontal="right" vertical="bottom"/>
    </xf>
    <xf borderId="0" fillId="3" fontId="38" numFmtId="0" xfId="0" applyAlignment="1" applyFont="1">
      <alignment horizontal="right" readingOrder="0" vertical="bottom"/>
    </xf>
    <xf borderId="0" fillId="3" fontId="37" numFmtId="0" xfId="0" applyAlignment="1" applyFont="1">
      <alignment vertical="bottom"/>
    </xf>
    <xf borderId="0" fillId="3" fontId="38" numFmtId="0" xfId="0" applyAlignment="1" applyFont="1">
      <alignment horizontal="right" vertical="bottom"/>
    </xf>
    <xf borderId="10" fillId="3" fontId="1" numFmtId="166" xfId="0" applyAlignment="1" applyBorder="1" applyFont="1" applyNumberFormat="1">
      <alignment readingOrder="0" vertical="bottom"/>
    </xf>
    <xf borderId="0" fillId="3" fontId="34" numFmtId="164" xfId="0" applyAlignment="1" applyFont="1" applyNumberFormat="1">
      <alignment vertical="bottom"/>
    </xf>
    <xf borderId="0" fillId="3" fontId="34" numFmtId="4" xfId="0" applyAlignment="1" applyFont="1" applyNumberFormat="1">
      <alignment vertical="bottom"/>
    </xf>
    <xf borderId="0" fillId="3" fontId="34" numFmtId="169" xfId="0" applyAlignment="1" applyFont="1" applyNumberFormat="1">
      <alignment readingOrder="0" vertical="bottom"/>
    </xf>
    <xf borderId="0" fillId="3" fontId="34" numFmtId="0" xfId="0" applyAlignment="1" applyFont="1">
      <alignment readingOrder="0" vertical="bottom"/>
    </xf>
    <xf borderId="6" fillId="11" fontId="7" numFmtId="0" xfId="0" applyAlignment="1" applyBorder="1" applyFont="1">
      <alignment horizontal="center" readingOrder="0" shrinkToFit="0" vertical="bottom" wrapText="1"/>
    </xf>
    <xf borderId="0" fillId="3" fontId="39" numFmtId="0" xfId="0" applyAlignment="1" applyFont="1">
      <alignment horizontal="center" readingOrder="0" shrinkToFit="0" vertical="bottom" wrapText="1"/>
    </xf>
    <xf borderId="0" fillId="3" fontId="33" numFmtId="4" xfId="0" applyAlignment="1" applyFont="1" applyNumberFormat="1">
      <alignment horizontal="right" shrinkToFit="0" vertical="bottom" wrapText="1"/>
    </xf>
    <xf borderId="0" fillId="3" fontId="32" numFmtId="0" xfId="0" applyAlignment="1" applyFont="1">
      <alignment shrinkToFit="0" vertical="bottom" wrapText="1"/>
    </xf>
    <xf borderId="0" fillId="3" fontId="33" numFmtId="168" xfId="0" applyAlignment="1" applyFont="1" applyNumberFormat="1">
      <alignment horizontal="right" shrinkToFit="0" vertical="bottom" wrapText="1"/>
    </xf>
    <xf borderId="9" fillId="3" fontId="1" numFmtId="0" xfId="0" applyAlignment="1" applyBorder="1" applyFont="1">
      <alignment readingOrder="0" vertical="bottom"/>
    </xf>
    <xf borderId="24" fillId="3" fontId="40" numFmtId="0" xfId="0" applyAlignment="1" applyBorder="1" applyFont="1">
      <alignment vertical="bottom"/>
    </xf>
    <xf borderId="25" fillId="3" fontId="1" numFmtId="170" xfId="0" applyAlignment="1" applyBorder="1" applyFont="1" applyNumberFormat="1">
      <alignment readingOrder="0" vertical="bottom"/>
    </xf>
    <xf borderId="7" fillId="3" fontId="1" numFmtId="0" xfId="0" applyAlignment="1" applyBorder="1" applyFont="1">
      <alignment readingOrder="0" vertical="bottom"/>
    </xf>
    <xf borderId="0" fillId="3" fontId="41" numFmtId="0" xfId="0" applyAlignment="1" applyFont="1">
      <alignment readingOrder="0" vertical="bottom"/>
    </xf>
    <xf borderId="26" fillId="3" fontId="1" numFmtId="170" xfId="0" applyAlignment="1" applyBorder="1" applyFont="1" applyNumberFormat="1">
      <alignment readingOrder="0" vertical="bottom"/>
    </xf>
    <xf borderId="8" fillId="3" fontId="1" numFmtId="0" xfId="0" applyAlignment="1" applyBorder="1" applyFont="1">
      <alignment readingOrder="0" vertical="bottom"/>
    </xf>
    <xf borderId="0" fillId="3" fontId="33" numFmtId="168" xfId="0" applyAlignment="1" applyFont="1" applyNumberFormat="1">
      <alignment horizontal="right" readingOrder="0" shrinkToFit="0" vertical="bottom" wrapText="1"/>
    </xf>
    <xf borderId="6" fillId="12" fontId="7" numFmtId="0" xfId="0" applyAlignment="1" applyBorder="1" applyFill="1" applyFont="1">
      <alignment horizontal="center" readingOrder="0" shrinkToFit="0" vertical="bottom" wrapText="1"/>
    </xf>
    <xf borderId="9" fillId="3" fontId="1" numFmtId="2" xfId="0" applyAlignment="1" applyBorder="1" applyFont="1" applyNumberFormat="1">
      <alignment readingOrder="0" vertical="bottom"/>
    </xf>
    <xf borderId="23" fillId="3" fontId="1" numFmtId="170" xfId="0" applyAlignment="1" applyBorder="1" applyFont="1" applyNumberFormat="1">
      <alignment readingOrder="0" vertical="bottom"/>
    </xf>
    <xf borderId="24" fillId="3" fontId="1" numFmtId="0" xfId="0" applyAlignment="1" applyBorder="1" applyFont="1">
      <alignment readingOrder="0" vertical="bottom"/>
    </xf>
    <xf borderId="0" fillId="3" fontId="34" numFmtId="2" xfId="0" applyAlignment="1" applyFont="1" applyNumberFormat="1">
      <alignment vertical="bottom"/>
    </xf>
    <xf borderId="26" fillId="3" fontId="1" numFmtId="2" xfId="0" applyAlignment="1" applyBorder="1" applyFont="1" applyNumberFormat="1">
      <alignment vertical="bottom"/>
    </xf>
    <xf borderId="6" fillId="3" fontId="1" numFmtId="170" xfId="0" applyAlignment="1" applyBorder="1" applyFont="1" applyNumberFormat="1">
      <alignment readingOrder="0" vertical="bottom"/>
    </xf>
    <xf borderId="27" fillId="3" fontId="42" numFmtId="4" xfId="0" applyAlignment="1" applyBorder="1" applyFont="1" applyNumberFormat="1">
      <alignment horizontal="center" readingOrder="0" shrinkToFit="0" vertical="bottom" wrapText="1"/>
    </xf>
    <xf borderId="28" fillId="0" fontId="5" numFmtId="0" xfId="0" applyBorder="1" applyFont="1"/>
    <xf borderId="10" fillId="0" fontId="5" numFmtId="0" xfId="0" applyBorder="1" applyFont="1"/>
    <xf borderId="0" fillId="3" fontId="7" numFmtId="0" xfId="0" applyAlignment="1" applyFont="1">
      <alignment horizontal="center" readingOrder="0" shrinkToFit="0" vertical="bottom" wrapText="1"/>
    </xf>
    <xf borderId="0" fillId="3" fontId="19" numFmtId="168" xfId="0" applyAlignment="1" applyFont="1" applyNumberFormat="1">
      <alignment horizontal="right" shrinkToFit="0" vertical="bottom" wrapText="1"/>
    </xf>
    <xf borderId="22" fillId="3" fontId="1" numFmtId="170" xfId="0" applyAlignment="1" applyBorder="1" applyFont="1" applyNumberFormat="1">
      <alignment readingOrder="0" vertical="bottom"/>
    </xf>
    <xf borderId="0" fillId="3" fontId="17" numFmtId="0" xfId="0" applyAlignment="1" applyFont="1">
      <alignment horizontal="center" readingOrder="0" shrinkToFit="0" vertical="bottom" wrapText="1"/>
    </xf>
    <xf borderId="0" fillId="3" fontId="19" numFmtId="168" xfId="0" applyAlignment="1" applyFont="1" applyNumberFormat="1">
      <alignment horizontal="right" readingOrder="0" shrinkToFit="0" vertical="bottom" wrapText="1"/>
    </xf>
    <xf borderId="0" fillId="13" fontId="1" numFmtId="0" xfId="0" applyAlignment="1" applyFill="1" applyFont="1">
      <alignment vertical="bottom"/>
    </xf>
    <xf borderId="0" fillId="13" fontId="2" numFmtId="0" xfId="0" applyAlignment="1" applyFont="1">
      <alignment readingOrder="0" vertical="bottom"/>
    </xf>
    <xf borderId="0" fillId="13" fontId="1" numFmtId="0" xfId="0" applyAlignment="1" applyFont="1">
      <alignment vertical="top"/>
    </xf>
    <xf borderId="6" fillId="13" fontId="7" numFmtId="0" xfId="0" applyAlignment="1" applyBorder="1" applyFont="1">
      <alignment horizontal="center" readingOrder="0" shrinkToFit="0" vertical="bottom" wrapText="1"/>
    </xf>
    <xf borderId="0" fillId="7" fontId="1" numFmtId="0" xfId="0" applyAlignment="1" applyFont="1">
      <alignment vertical="bottom"/>
    </xf>
    <xf borderId="0" fillId="7" fontId="2" numFmtId="0" xfId="0" applyAlignment="1" applyFont="1">
      <alignment readingOrder="0" vertical="bottom"/>
    </xf>
    <xf borderId="0" fillId="7" fontId="1" numFmtId="0" xfId="0" applyAlignment="1" applyFont="1">
      <alignment vertical="top"/>
    </xf>
    <xf borderId="6" fillId="7" fontId="9" numFmtId="0" xfId="0" applyAlignment="1" applyBorder="1" applyFont="1">
      <alignment horizontal="center" readingOrder="0" shrinkToFit="0" vertical="bottom" wrapText="1"/>
    </xf>
    <xf borderId="9" fillId="7" fontId="11" numFmtId="0" xfId="0" applyAlignment="1" applyBorder="1" applyFont="1">
      <alignment horizontal="center" readingOrder="0" shrinkToFit="0" wrapText="1"/>
    </xf>
    <xf borderId="11" fillId="7" fontId="15" numFmtId="0" xfId="0" applyAlignment="1" applyBorder="1" applyFont="1">
      <alignment horizontal="center" readingOrder="0" shrinkToFit="0" vertical="center" wrapText="1"/>
    </xf>
    <xf borderId="9" fillId="7" fontId="16" numFmtId="0" xfId="0" applyAlignment="1" applyBorder="1" applyFont="1">
      <alignment horizontal="center" readingOrder="0" shrinkToFit="0" wrapText="1"/>
    </xf>
    <xf borderId="29" fillId="3" fontId="1" numFmtId="164" xfId="0" applyAlignment="1" applyBorder="1" applyFont="1" applyNumberFormat="1">
      <alignment vertical="bottom"/>
    </xf>
    <xf borderId="28" fillId="3" fontId="1" numFmtId="0" xfId="0" applyAlignment="1" applyBorder="1" applyFont="1">
      <alignment vertical="bottom"/>
    </xf>
    <xf borderId="7" fillId="6" fontId="1" numFmtId="0" xfId="0" applyAlignment="1" applyBorder="1" applyFont="1">
      <alignment vertical="bottom"/>
    </xf>
    <xf borderId="29" fillId="3" fontId="1" numFmtId="0" xfId="0" applyAlignment="1" applyBorder="1" applyFont="1">
      <alignment vertical="bottom"/>
    </xf>
    <xf borderId="0" fillId="3" fontId="43" numFmtId="0" xfId="0" applyAlignment="1" applyFont="1">
      <alignment horizontal="center" readingOrder="0" shrinkToFit="0" vertical="bottom" wrapText="1"/>
    </xf>
    <xf borderId="0" fillId="3" fontId="1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0"/>
    <col customWidth="1" min="2" max="2" width="17.25"/>
    <col customWidth="1" min="3" max="3" width="10.25"/>
    <col customWidth="1" min="4" max="4" width="9.0"/>
    <col customWidth="1" min="5" max="5" width="13.88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ht="7.5" customHeight="1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>
      <c r="A4" s="4"/>
      <c r="B4" s="5"/>
      <c r="C4" s="6"/>
      <c r="D4" s="6"/>
      <c r="E4" s="6"/>
      <c r="F4" s="6"/>
      <c r="G4" s="4"/>
      <c r="H4" s="4"/>
      <c r="I4" s="4"/>
      <c r="J4" s="4"/>
      <c r="K4" s="4"/>
      <c r="L4" s="4"/>
      <c r="M4" s="4"/>
      <c r="N4" s="4"/>
      <c r="O4" s="7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ht="24.75" customHeight="1">
      <c r="A5" s="8"/>
      <c r="B5" s="9" t="s">
        <v>1</v>
      </c>
      <c r="C5" s="10">
        <v>420.0</v>
      </c>
      <c r="D5" s="11"/>
      <c r="E5" s="11"/>
      <c r="F5" s="12"/>
      <c r="G5" s="4"/>
      <c r="H5" s="13"/>
      <c r="I5" s="9" t="s">
        <v>1</v>
      </c>
      <c r="J5" s="10">
        <v>380.0</v>
      </c>
      <c r="K5" s="11"/>
      <c r="L5" s="11"/>
      <c r="M5" s="12"/>
      <c r="N5" s="4"/>
      <c r="O5" s="14"/>
      <c r="S5" s="4"/>
      <c r="T5" s="13"/>
      <c r="U5" s="15"/>
      <c r="Y5" s="4"/>
      <c r="Z5" s="16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>
      <c r="A6" s="4"/>
      <c r="B6" s="4"/>
      <c r="C6" s="7"/>
      <c r="D6" s="7"/>
      <c r="E6" s="7"/>
      <c r="F6" s="7"/>
      <c r="G6" s="4"/>
      <c r="H6" s="4"/>
      <c r="I6" s="4"/>
      <c r="J6" s="7"/>
      <c r="K6" s="7"/>
      <c r="L6" s="7"/>
      <c r="M6" s="7"/>
      <c r="N6" s="4"/>
      <c r="O6" s="7"/>
      <c r="P6" s="7"/>
      <c r="Q6" s="7"/>
      <c r="R6" s="7"/>
      <c r="S6" s="4"/>
      <c r="T6" s="4"/>
      <c r="U6" s="7"/>
      <c r="V6" s="7"/>
      <c r="W6" s="7"/>
      <c r="X6" s="7"/>
      <c r="Y6" s="4"/>
      <c r="Z6" s="17"/>
      <c r="AA6" s="17"/>
      <c r="AB6" s="17"/>
      <c r="AC6" s="18"/>
      <c r="AD6" s="18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>
      <c r="A7" s="4"/>
      <c r="B7" s="19"/>
      <c r="C7" s="20"/>
      <c r="D7" s="20"/>
      <c r="E7" s="7"/>
      <c r="F7" s="7"/>
      <c r="G7" s="4"/>
      <c r="H7" s="4"/>
      <c r="I7" s="19"/>
      <c r="J7" s="20"/>
      <c r="K7" s="20"/>
      <c r="L7" s="7"/>
      <c r="M7" s="7"/>
      <c r="N7" s="4"/>
      <c r="O7" s="7"/>
      <c r="P7" s="7"/>
      <c r="Q7" s="7"/>
      <c r="R7" s="7"/>
      <c r="S7" s="4"/>
      <c r="T7" s="4"/>
      <c r="U7" s="7"/>
      <c r="V7" s="7"/>
      <c r="W7" s="7"/>
      <c r="X7" s="7"/>
      <c r="Y7" s="4"/>
      <c r="Z7" s="17"/>
      <c r="AA7" s="17"/>
      <c r="AB7" s="17"/>
      <c r="AC7" s="18"/>
      <c r="AD7" s="18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>
      <c r="A8" s="21"/>
      <c r="B8" s="22" t="s">
        <v>1</v>
      </c>
      <c r="C8" s="23" t="s">
        <v>2</v>
      </c>
      <c r="D8" s="24">
        <v>420.0</v>
      </c>
      <c r="E8" s="25" t="s">
        <v>3</v>
      </c>
      <c r="F8" s="26">
        <v>10.0</v>
      </c>
      <c r="G8" s="4"/>
      <c r="H8" s="27"/>
      <c r="I8" s="22" t="s">
        <v>1</v>
      </c>
      <c r="J8" s="23" t="s">
        <v>2</v>
      </c>
      <c r="K8" s="24">
        <v>380.0</v>
      </c>
      <c r="L8" s="25" t="s">
        <v>3</v>
      </c>
      <c r="M8" s="26">
        <v>10.0</v>
      </c>
      <c r="N8" s="4"/>
      <c r="O8" s="28"/>
      <c r="P8" s="29"/>
      <c r="Q8" s="30"/>
      <c r="R8" s="31"/>
      <c r="S8" s="4"/>
      <c r="T8" s="27"/>
      <c r="U8" s="28"/>
      <c r="V8" s="29"/>
      <c r="W8" s="30"/>
      <c r="X8" s="31"/>
      <c r="Y8" s="4"/>
      <c r="Z8" s="32"/>
      <c r="AA8" s="33"/>
      <c r="AB8" s="32"/>
      <c r="AC8" s="34"/>
      <c r="AD8" s="32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>
      <c r="A9" s="4"/>
      <c r="B9" s="19"/>
      <c r="C9" s="20"/>
      <c r="D9" s="20"/>
      <c r="E9" s="20"/>
      <c r="F9" s="19"/>
      <c r="G9" s="4"/>
      <c r="H9" s="4"/>
      <c r="I9" s="19"/>
      <c r="J9" s="20"/>
      <c r="K9" s="20"/>
      <c r="L9" s="20"/>
      <c r="M9" s="19"/>
      <c r="N9" s="4"/>
      <c r="O9" s="7"/>
      <c r="P9" s="7"/>
      <c r="Q9" s="7"/>
      <c r="R9" s="4"/>
      <c r="S9" s="4"/>
      <c r="T9" s="4"/>
      <c r="U9" s="7"/>
      <c r="V9" s="7"/>
      <c r="W9" s="7"/>
      <c r="X9" s="4"/>
      <c r="Y9" s="4"/>
      <c r="Z9" s="32"/>
      <c r="AA9" s="33"/>
      <c r="AB9" s="32"/>
      <c r="AC9" s="34"/>
      <c r="AD9" s="32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>
      <c r="A10" s="21"/>
      <c r="B10" s="35" t="s">
        <v>4</v>
      </c>
      <c r="C10" s="36">
        <v>9.0</v>
      </c>
      <c r="D10" s="37" t="s">
        <v>5</v>
      </c>
      <c r="E10" s="38" t="s">
        <v>2</v>
      </c>
      <c r="F10" s="39">
        <f>D8/C10</f>
        <v>46.66666667</v>
      </c>
      <c r="G10" s="4"/>
      <c r="H10" s="40"/>
      <c r="I10" s="35" t="s">
        <v>4</v>
      </c>
      <c r="J10" s="36">
        <v>9.0</v>
      </c>
      <c r="K10" s="37" t="s">
        <v>5</v>
      </c>
      <c r="L10" s="38" t="s">
        <v>2</v>
      </c>
      <c r="M10" s="39">
        <f>K8/J10</f>
        <v>42.22222222</v>
      </c>
      <c r="N10" s="4"/>
      <c r="O10" s="41"/>
      <c r="P10" s="42"/>
      <c r="Q10" s="41"/>
      <c r="R10" s="42"/>
      <c r="S10" s="4"/>
      <c r="T10" s="40"/>
      <c r="U10" s="41"/>
      <c r="V10" s="42"/>
      <c r="W10" s="41"/>
      <c r="X10" s="42"/>
      <c r="Y10" s="4"/>
      <c r="Z10" s="32"/>
      <c r="AA10" s="4"/>
      <c r="AB10" s="32"/>
      <c r="AC10" s="34"/>
      <c r="AD10" s="32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>
      <c r="A11" s="4"/>
      <c r="B11" s="43"/>
      <c r="C11" s="43"/>
      <c r="D11" s="43"/>
      <c r="E11" s="43"/>
      <c r="F11" s="43"/>
      <c r="G11" s="4"/>
      <c r="H11" s="15"/>
      <c r="I11" s="43"/>
      <c r="J11" s="43"/>
      <c r="K11" s="43"/>
      <c r="L11" s="43"/>
      <c r="M11" s="43"/>
      <c r="N11" s="4"/>
      <c r="O11" s="44"/>
      <c r="P11" s="42"/>
      <c r="Q11" s="44"/>
      <c r="R11" s="42"/>
      <c r="S11" s="4"/>
      <c r="T11" s="15"/>
      <c r="U11" s="44"/>
      <c r="V11" s="42"/>
      <c r="W11" s="44"/>
      <c r="X11" s="42"/>
      <c r="Y11" s="4"/>
      <c r="Z11" s="4"/>
      <c r="AA11" s="4"/>
      <c r="AB11" s="4"/>
      <c r="AC11" s="34"/>
      <c r="AD11" s="32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30"/>
      <c r="AA12" s="31"/>
      <c r="AB12" s="45"/>
      <c r="AC12" s="46"/>
      <c r="AD12" s="47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ht="31.5" customHeight="1">
      <c r="A13" s="4"/>
      <c r="B13" s="48" t="s">
        <v>6</v>
      </c>
      <c r="C13" s="49" t="s">
        <v>7</v>
      </c>
      <c r="D13" s="50"/>
      <c r="E13" s="50"/>
      <c r="F13" s="50"/>
      <c r="G13" s="51"/>
      <c r="H13" s="13"/>
      <c r="I13" s="48" t="s">
        <v>6</v>
      </c>
      <c r="J13" s="49" t="s">
        <v>8</v>
      </c>
      <c r="K13" s="50"/>
      <c r="L13" s="50"/>
      <c r="M13" s="50"/>
      <c r="N13" s="51"/>
      <c r="O13" s="14"/>
      <c r="S13" s="4"/>
      <c r="T13" s="13"/>
      <c r="U13" s="15"/>
      <c r="Y13" s="4"/>
      <c r="Z13" s="7"/>
      <c r="AA13" s="7"/>
      <c r="AB13" s="7"/>
      <c r="AC13" s="7"/>
      <c r="AD13" s="7"/>
      <c r="AE13" s="7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16"/>
    </row>
    <row r="14">
      <c r="A14" s="4"/>
      <c r="B14" s="52" t="s">
        <v>9</v>
      </c>
      <c r="C14" s="53" t="s">
        <v>10</v>
      </c>
      <c r="D14" s="53" t="s">
        <v>11</v>
      </c>
      <c r="E14" s="53" t="s">
        <v>12</v>
      </c>
      <c r="F14" s="54"/>
      <c r="G14" s="53" t="s">
        <v>13</v>
      </c>
      <c r="H14" s="18"/>
      <c r="I14" s="52" t="s">
        <v>9</v>
      </c>
      <c r="J14" s="53" t="s">
        <v>14</v>
      </c>
      <c r="K14" s="53" t="s">
        <v>11</v>
      </c>
      <c r="L14" s="53" t="s">
        <v>12</v>
      </c>
      <c r="M14" s="54"/>
      <c r="N14" s="53" t="s">
        <v>13</v>
      </c>
      <c r="O14" s="18"/>
      <c r="P14" s="18"/>
      <c r="Q14" s="18"/>
      <c r="R14" s="18"/>
      <c r="S14" s="4"/>
      <c r="T14" s="18"/>
      <c r="U14" s="18"/>
      <c r="V14" s="18"/>
      <c r="W14" s="18"/>
      <c r="X14" s="18"/>
      <c r="Y14" s="4"/>
      <c r="Z14" s="7"/>
      <c r="AA14" s="7"/>
      <c r="AB14" s="7"/>
      <c r="AC14" s="7"/>
      <c r="AD14" s="7"/>
      <c r="AE14" s="7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17"/>
      <c r="AS14" s="17"/>
      <c r="AT14" s="17"/>
      <c r="AU14" s="17"/>
      <c r="AV14" s="17"/>
      <c r="AW14" s="17"/>
      <c r="AX14" s="17"/>
      <c r="AY14" s="17"/>
      <c r="AZ14" s="55"/>
    </row>
    <row r="15">
      <c r="A15" s="4"/>
      <c r="B15" s="56">
        <v>46204.0</v>
      </c>
      <c r="C15" s="57">
        <v>0.2986111111111111</v>
      </c>
      <c r="D15" s="58">
        <v>0.8090277777777778</v>
      </c>
      <c r="E15" s="59">
        <f t="shared" ref="E15:E26" si="1">(D15-C15)*24</f>
        <v>12.25</v>
      </c>
      <c r="F15" s="60">
        <f t="shared" ref="F15:F26" si="2">E15/$F$8</f>
        <v>1.225</v>
      </c>
      <c r="G15" s="59">
        <f t="shared" ref="G15:G26" si="3">F15*$D$8</f>
        <v>514.5</v>
      </c>
      <c r="H15" s="32"/>
      <c r="I15" s="56">
        <v>45794.0</v>
      </c>
      <c r="J15" s="61">
        <v>0.3333333333333333</v>
      </c>
      <c r="K15" s="61">
        <v>0.6666666666666666</v>
      </c>
      <c r="L15" s="59">
        <f t="shared" ref="L15:L19" si="4">(K15-J15)*24</f>
        <v>8</v>
      </c>
      <c r="M15" s="60">
        <f t="shared" ref="M15:M19" si="5">L15/$F$8</f>
        <v>0.8</v>
      </c>
      <c r="N15" s="59">
        <f t="shared" ref="N15:N19" si="6">M15*$D$8</f>
        <v>336</v>
      </c>
      <c r="O15" s="62"/>
      <c r="P15" s="32"/>
      <c r="Q15" s="34"/>
      <c r="R15" s="32"/>
      <c r="S15" s="4"/>
      <c r="T15" s="32"/>
      <c r="U15" s="62"/>
      <c r="V15" s="32"/>
      <c r="W15" s="34"/>
      <c r="X15" s="32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7"/>
      <c r="AR15" s="32"/>
      <c r="AS15" s="33"/>
      <c r="AT15" s="33"/>
      <c r="AU15" s="32"/>
      <c r="AV15" s="63"/>
      <c r="AW15" s="32"/>
      <c r="AX15" s="33"/>
      <c r="AY15" s="32"/>
      <c r="AZ15" s="64"/>
    </row>
    <row r="16">
      <c r="A16" s="4"/>
      <c r="B16" s="56">
        <v>46207.0</v>
      </c>
      <c r="C16" s="57">
        <v>0.4048611111111111</v>
      </c>
      <c r="D16" s="58">
        <v>0.7722222222222223</v>
      </c>
      <c r="E16" s="59">
        <f t="shared" si="1"/>
        <v>8.816666667</v>
      </c>
      <c r="F16" s="60">
        <f t="shared" si="2"/>
        <v>0.8816666667</v>
      </c>
      <c r="G16" s="59">
        <f t="shared" si="3"/>
        <v>370.3</v>
      </c>
      <c r="H16" s="32"/>
      <c r="I16" s="56">
        <v>45797.0</v>
      </c>
      <c r="J16" s="58">
        <v>0.5416666666666666</v>
      </c>
      <c r="K16" s="58">
        <v>0.6666666666666666</v>
      </c>
      <c r="L16" s="59">
        <f t="shared" si="4"/>
        <v>3</v>
      </c>
      <c r="M16" s="60">
        <f t="shared" si="5"/>
        <v>0.3</v>
      </c>
      <c r="N16" s="59">
        <f t="shared" si="6"/>
        <v>126</v>
      </c>
      <c r="O16" s="62"/>
      <c r="P16" s="32"/>
      <c r="Q16" s="34"/>
      <c r="R16" s="32"/>
      <c r="S16" s="4"/>
      <c r="T16" s="32"/>
      <c r="U16" s="62"/>
      <c r="V16" s="32"/>
      <c r="W16" s="34"/>
      <c r="X16" s="32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7"/>
      <c r="AR16" s="32"/>
      <c r="AS16" s="33"/>
      <c r="AT16" s="33"/>
      <c r="AU16" s="32"/>
      <c r="AV16" s="63"/>
      <c r="AW16" s="32"/>
      <c r="AX16" s="33"/>
      <c r="AY16" s="32"/>
      <c r="AZ16" s="64"/>
    </row>
    <row r="17">
      <c r="A17" s="4"/>
      <c r="B17" s="56">
        <v>46209.0</v>
      </c>
      <c r="C17" s="57">
        <v>0.29305555555555557</v>
      </c>
      <c r="D17" s="65">
        <v>0.7354166666666667</v>
      </c>
      <c r="E17" s="59">
        <f t="shared" si="1"/>
        <v>10.61666667</v>
      </c>
      <c r="F17" s="60">
        <f t="shared" si="2"/>
        <v>1.061666667</v>
      </c>
      <c r="G17" s="59">
        <f t="shared" si="3"/>
        <v>445.9</v>
      </c>
      <c r="H17" s="32"/>
      <c r="I17" s="66">
        <v>45798.0</v>
      </c>
      <c r="J17" s="58">
        <v>0.20833333333333334</v>
      </c>
      <c r="K17" s="61">
        <v>0.3333333333333333</v>
      </c>
      <c r="L17" s="59">
        <f t="shared" si="4"/>
        <v>3</v>
      </c>
      <c r="M17" s="60">
        <f t="shared" si="5"/>
        <v>0.3</v>
      </c>
      <c r="N17" s="59">
        <f t="shared" si="6"/>
        <v>126</v>
      </c>
      <c r="O17" s="62"/>
      <c r="P17" s="32"/>
      <c r="Q17" s="34"/>
      <c r="R17" s="32"/>
      <c r="S17" s="4"/>
      <c r="T17" s="32"/>
      <c r="U17" s="62"/>
      <c r="V17" s="32"/>
      <c r="W17" s="34"/>
      <c r="X17" s="32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7"/>
      <c r="AR17" s="32"/>
      <c r="AS17" s="33"/>
      <c r="AT17" s="33"/>
      <c r="AU17" s="32"/>
      <c r="AV17" s="63"/>
      <c r="AW17" s="32"/>
      <c r="AX17" s="4"/>
      <c r="AY17" s="32"/>
      <c r="AZ17" s="64"/>
    </row>
    <row r="18">
      <c r="A18" s="4"/>
      <c r="B18" s="56">
        <v>46210.0</v>
      </c>
      <c r="C18" s="57">
        <v>0.5277777777777778</v>
      </c>
      <c r="D18" s="65">
        <v>0.7395833333333334</v>
      </c>
      <c r="E18" s="59">
        <f t="shared" si="1"/>
        <v>5.083333333</v>
      </c>
      <c r="F18" s="60">
        <f t="shared" si="2"/>
        <v>0.5083333333</v>
      </c>
      <c r="G18" s="59">
        <f t="shared" si="3"/>
        <v>213.5</v>
      </c>
      <c r="H18" s="32"/>
      <c r="I18" s="66">
        <v>45801.0</v>
      </c>
      <c r="J18" s="58">
        <v>0.3263888888888889</v>
      </c>
      <c r="K18" s="58">
        <v>0.6736111111111112</v>
      </c>
      <c r="L18" s="59">
        <f t="shared" si="4"/>
        <v>8.333333333</v>
      </c>
      <c r="M18" s="60">
        <f t="shared" si="5"/>
        <v>0.8333333333</v>
      </c>
      <c r="N18" s="59">
        <f t="shared" si="6"/>
        <v>350</v>
      </c>
      <c r="O18" s="62"/>
      <c r="P18" s="32"/>
      <c r="Q18" s="34"/>
      <c r="R18" s="32"/>
      <c r="S18" s="4"/>
      <c r="T18" s="32"/>
      <c r="U18" s="62"/>
      <c r="V18" s="32"/>
      <c r="W18" s="34"/>
      <c r="X18" s="32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7"/>
      <c r="AR18" s="4"/>
      <c r="AS18" s="4"/>
      <c r="AT18" s="4"/>
      <c r="AU18" s="4"/>
      <c r="AV18" s="7"/>
      <c r="AW18" s="4"/>
      <c r="AX18" s="4"/>
      <c r="AY18" s="4"/>
      <c r="AZ18" s="67"/>
    </row>
    <row r="19">
      <c r="A19" s="4"/>
      <c r="B19" s="56">
        <v>46211.0</v>
      </c>
      <c r="C19" s="58">
        <v>0.24791666666666667</v>
      </c>
      <c r="D19" s="57">
        <v>0.6861111111111111</v>
      </c>
      <c r="E19" s="59">
        <f t="shared" si="1"/>
        <v>10.51666667</v>
      </c>
      <c r="F19" s="60">
        <f t="shared" si="2"/>
        <v>1.051666667</v>
      </c>
      <c r="G19" s="59">
        <f t="shared" si="3"/>
        <v>441.7</v>
      </c>
      <c r="H19" s="32"/>
      <c r="I19" s="66">
        <v>45804.0</v>
      </c>
      <c r="J19" s="58">
        <v>0.5416666666666666</v>
      </c>
      <c r="K19" s="58">
        <v>0.7430555555555556</v>
      </c>
      <c r="L19" s="59">
        <f t="shared" si="4"/>
        <v>4.833333333</v>
      </c>
      <c r="M19" s="60">
        <f t="shared" si="5"/>
        <v>0.4833333333</v>
      </c>
      <c r="N19" s="59">
        <f t="shared" si="6"/>
        <v>203</v>
      </c>
      <c r="O19" s="62"/>
      <c r="P19" s="32"/>
      <c r="Q19" s="34"/>
      <c r="R19" s="32"/>
      <c r="S19" s="4"/>
      <c r="T19" s="32"/>
      <c r="U19" s="68"/>
      <c r="V19" s="32"/>
      <c r="W19" s="34"/>
      <c r="X19" s="32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7"/>
      <c r="AR19" s="7"/>
      <c r="AS19" s="7"/>
      <c r="AT19" s="7"/>
      <c r="AU19" s="7"/>
      <c r="AV19" s="7"/>
      <c r="AW19" s="7"/>
      <c r="AX19" s="69"/>
      <c r="AY19" s="70"/>
      <c r="AZ19" s="47"/>
    </row>
    <row r="20">
      <c r="A20" s="4"/>
      <c r="B20" s="56">
        <v>46212.0</v>
      </c>
      <c r="C20" s="57">
        <v>0.29444444444444445</v>
      </c>
      <c r="D20" s="57">
        <v>0.8194444444444444</v>
      </c>
      <c r="E20" s="59">
        <f t="shared" si="1"/>
        <v>12.6</v>
      </c>
      <c r="F20" s="60">
        <f t="shared" si="2"/>
        <v>1.26</v>
      </c>
      <c r="G20" s="59">
        <f t="shared" si="3"/>
        <v>529.2</v>
      </c>
      <c r="H20" s="32"/>
      <c r="I20" s="66"/>
      <c r="J20" s="58"/>
      <c r="K20" s="58"/>
      <c r="L20" s="59"/>
      <c r="M20" s="60"/>
      <c r="N20" s="59"/>
      <c r="O20" s="62"/>
      <c r="P20" s="32"/>
      <c r="Q20" s="34"/>
      <c r="R20" s="32"/>
      <c r="S20" s="4"/>
      <c r="T20" s="32"/>
      <c r="U20" s="62"/>
      <c r="V20" s="32"/>
      <c r="W20" s="34"/>
      <c r="X20" s="32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7"/>
      <c r="AR20" s="7"/>
      <c r="AS20" s="7"/>
      <c r="AT20" s="7"/>
      <c r="AU20" s="7"/>
      <c r="AV20" s="7"/>
      <c r="AW20" s="7"/>
      <c r="AX20" s="69"/>
      <c r="AY20" s="4"/>
      <c r="AZ20" s="71"/>
    </row>
    <row r="21">
      <c r="A21" s="4"/>
      <c r="B21" s="56">
        <v>46213.0</v>
      </c>
      <c r="C21" s="58">
        <v>0.3020833333333333</v>
      </c>
      <c r="D21" s="58">
        <v>0.8020833333333334</v>
      </c>
      <c r="E21" s="59">
        <f t="shared" si="1"/>
        <v>12</v>
      </c>
      <c r="F21" s="60">
        <f t="shared" si="2"/>
        <v>1.2</v>
      </c>
      <c r="G21" s="59">
        <f t="shared" si="3"/>
        <v>504</v>
      </c>
      <c r="H21" s="32"/>
      <c r="I21" s="66"/>
      <c r="J21" s="58"/>
      <c r="K21" s="58"/>
      <c r="L21" s="59"/>
      <c r="M21" s="60"/>
      <c r="N21" s="59"/>
      <c r="O21" s="62"/>
      <c r="P21" s="32"/>
      <c r="Q21" s="34"/>
      <c r="R21" s="32"/>
      <c r="S21" s="4"/>
      <c r="T21" s="32"/>
      <c r="U21" s="68"/>
      <c r="V21" s="32"/>
      <c r="W21" s="34"/>
      <c r="X21" s="32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7"/>
      <c r="AR21" s="7"/>
      <c r="AS21" s="7"/>
      <c r="AT21" s="7"/>
      <c r="AU21" s="7"/>
      <c r="AV21" s="7"/>
      <c r="AW21" s="7"/>
      <c r="AX21" s="69"/>
      <c r="AY21" s="4"/>
      <c r="AZ21" s="72"/>
    </row>
    <row r="22">
      <c r="A22" s="4"/>
      <c r="B22" s="56">
        <v>46214.0</v>
      </c>
      <c r="C22" s="57">
        <v>0.34444444444444444</v>
      </c>
      <c r="D22" s="58">
        <v>0.7916666666666666</v>
      </c>
      <c r="E22" s="59">
        <f t="shared" si="1"/>
        <v>10.73333333</v>
      </c>
      <c r="F22" s="60">
        <f t="shared" si="2"/>
        <v>1.073333333</v>
      </c>
      <c r="G22" s="59">
        <f t="shared" si="3"/>
        <v>450.8</v>
      </c>
      <c r="H22" s="32"/>
      <c r="I22" s="56"/>
      <c r="J22" s="58"/>
      <c r="K22" s="58"/>
      <c r="L22" s="59"/>
      <c r="M22" s="60"/>
      <c r="N22" s="59"/>
      <c r="O22" s="62"/>
      <c r="P22" s="32"/>
      <c r="Q22" s="34"/>
      <c r="R22" s="32"/>
      <c r="S22" s="4"/>
      <c r="T22" s="32"/>
      <c r="U22" s="62"/>
      <c r="V22" s="32"/>
      <c r="W22" s="34"/>
      <c r="X22" s="32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7"/>
      <c r="AR22" s="7"/>
      <c r="AS22" s="7"/>
      <c r="AT22" s="7"/>
      <c r="AU22" s="7"/>
      <c r="AV22" s="7"/>
      <c r="AW22" s="7"/>
      <c r="AX22" s="7"/>
      <c r="AY22" s="7"/>
      <c r="AZ22" s="7"/>
    </row>
    <row r="23">
      <c r="A23" s="4"/>
      <c r="B23" s="56">
        <v>46215.0</v>
      </c>
      <c r="C23" s="57">
        <v>0.23472222222222222</v>
      </c>
      <c r="D23" s="58">
        <v>0.4166666666666667</v>
      </c>
      <c r="E23" s="59">
        <f t="shared" si="1"/>
        <v>4.366666667</v>
      </c>
      <c r="F23" s="60">
        <f t="shared" si="2"/>
        <v>0.4366666667</v>
      </c>
      <c r="G23" s="59">
        <f t="shared" si="3"/>
        <v>183.4</v>
      </c>
      <c r="H23" s="32"/>
      <c r="I23" s="56"/>
      <c r="J23" s="58"/>
      <c r="K23" s="58"/>
      <c r="L23" s="59"/>
      <c r="M23" s="60"/>
      <c r="N23" s="59"/>
      <c r="O23" s="4"/>
      <c r="P23" s="4"/>
      <c r="Q23" s="4"/>
      <c r="R23" s="4"/>
      <c r="S23" s="4"/>
      <c r="T23" s="32"/>
      <c r="U23" s="33"/>
      <c r="V23" s="32"/>
      <c r="W23" s="34"/>
      <c r="X23" s="32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7"/>
      <c r="AR23" s="7"/>
      <c r="AS23" s="7"/>
      <c r="AT23" s="7"/>
      <c r="AU23" s="7"/>
      <c r="AV23" s="7"/>
      <c r="AW23" s="7"/>
      <c r="AX23" s="7"/>
      <c r="AY23" s="7"/>
      <c r="AZ23" s="7"/>
    </row>
    <row r="24">
      <c r="A24" s="4"/>
      <c r="B24" s="56">
        <v>46216.0</v>
      </c>
      <c r="C24" s="58">
        <v>0.29444444444444445</v>
      </c>
      <c r="D24" s="57">
        <v>0.70625</v>
      </c>
      <c r="E24" s="59">
        <f t="shared" si="1"/>
        <v>9.883333333</v>
      </c>
      <c r="F24" s="60">
        <f t="shared" si="2"/>
        <v>0.9883333333</v>
      </c>
      <c r="G24" s="59">
        <f t="shared" si="3"/>
        <v>415.1</v>
      </c>
      <c r="H24" s="4"/>
      <c r="I24" s="73"/>
      <c r="J24" s="74"/>
      <c r="K24" s="75"/>
      <c r="L24" s="76"/>
      <c r="M24" s="77"/>
      <c r="N24" s="76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>
      <c r="A25" s="4"/>
      <c r="B25" s="56">
        <v>46217.0</v>
      </c>
      <c r="C25" s="57">
        <v>0.5479166666666667</v>
      </c>
      <c r="D25" s="58">
        <v>0.5833333333333334</v>
      </c>
      <c r="E25" s="59">
        <f t="shared" si="1"/>
        <v>0.85</v>
      </c>
      <c r="F25" s="60">
        <f t="shared" si="2"/>
        <v>0.085</v>
      </c>
      <c r="G25" s="59">
        <f t="shared" si="3"/>
        <v>35.7</v>
      </c>
      <c r="H25" s="4"/>
      <c r="I25" s="4"/>
      <c r="J25" s="4"/>
      <c r="K25" s="4"/>
      <c r="L25" s="4"/>
      <c r="M25" s="4"/>
      <c r="N25" s="4"/>
      <c r="O25" s="4"/>
      <c r="P25" s="7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>
      <c r="A26" s="4"/>
      <c r="B26" s="56">
        <v>46218.0</v>
      </c>
      <c r="C26" s="58">
        <v>0.2708333333333333</v>
      </c>
      <c r="D26" s="57">
        <v>0.38055555555555554</v>
      </c>
      <c r="E26" s="59">
        <f t="shared" si="1"/>
        <v>2.633333333</v>
      </c>
      <c r="F26" s="60">
        <f t="shared" si="2"/>
        <v>0.2633333333</v>
      </c>
      <c r="G26" s="59">
        <f t="shared" si="3"/>
        <v>110.6</v>
      </c>
      <c r="H26" s="4"/>
      <c r="I26" s="4"/>
      <c r="J26" s="4"/>
      <c r="K26" s="4"/>
      <c r="L26" s="4"/>
      <c r="M26" s="4"/>
      <c r="N26" s="4"/>
      <c r="O26" s="4"/>
      <c r="P26" s="7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>
      <c r="A27" s="4"/>
      <c r="B27" s="56"/>
      <c r="C27" s="57"/>
      <c r="D27" s="57"/>
      <c r="E27" s="59"/>
      <c r="F27" s="60"/>
      <c r="G27" s="59"/>
      <c r="H27" s="4"/>
      <c r="I27" s="4"/>
      <c r="J27" s="4"/>
      <c r="K27" s="4"/>
      <c r="L27" s="4"/>
      <c r="M27" s="4"/>
      <c r="N27" s="4"/>
      <c r="O27" s="4"/>
      <c r="P27" s="7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>
      <c r="A28" s="4"/>
      <c r="B28" s="56"/>
      <c r="C28" s="58"/>
      <c r="D28" s="58"/>
      <c r="E28" s="59"/>
      <c r="F28" s="60"/>
      <c r="G28" s="59"/>
      <c r="H28" s="4"/>
      <c r="I28" s="4"/>
      <c r="J28" s="4"/>
      <c r="K28" s="4"/>
      <c r="L28" s="4"/>
      <c r="M28" s="4"/>
      <c r="N28" s="4"/>
      <c r="O28" s="4"/>
      <c r="P28" s="7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>
      <c r="A29" s="4"/>
      <c r="B29" s="56"/>
      <c r="C29" s="58"/>
      <c r="D29" s="58"/>
      <c r="E29" s="59"/>
      <c r="F29" s="60"/>
      <c r="G29" s="59"/>
      <c r="H29" s="4"/>
      <c r="I29" s="4"/>
      <c r="J29" s="4"/>
      <c r="K29" s="4"/>
      <c r="L29" s="4"/>
      <c r="M29" s="4"/>
      <c r="N29" s="4"/>
      <c r="O29" s="4"/>
      <c r="P29" s="7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7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>
      <c r="A31" s="4"/>
      <c r="B31" s="78" t="s">
        <v>15</v>
      </c>
      <c r="C31" s="79"/>
      <c r="D31" s="80"/>
      <c r="E31" s="81">
        <f>sum(E15:E29)</f>
        <v>100.35</v>
      </c>
      <c r="F31" s="42"/>
      <c r="G31" s="4"/>
      <c r="H31" s="4"/>
      <c r="I31" s="78" t="s">
        <v>15</v>
      </c>
      <c r="J31" s="79"/>
      <c r="K31" s="80"/>
      <c r="L31" s="81">
        <f>sum(L15:L24)</f>
        <v>27.16666667</v>
      </c>
      <c r="M31" s="42"/>
      <c r="N31" s="4"/>
      <c r="O31" s="4"/>
      <c r="P31" s="7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>
      <c r="A32" s="4"/>
      <c r="B32" s="78" t="s">
        <v>16</v>
      </c>
      <c r="C32" s="79"/>
      <c r="D32" s="80"/>
      <c r="E32" s="82">
        <f>E31/F8</f>
        <v>10.035</v>
      </c>
      <c r="F32" s="4"/>
      <c r="G32" s="4"/>
      <c r="H32" s="4"/>
      <c r="I32" s="78" t="s">
        <v>16</v>
      </c>
      <c r="J32" s="79"/>
      <c r="K32" s="80"/>
      <c r="L32" s="82">
        <f>L31/M8</f>
        <v>2.716666667</v>
      </c>
      <c r="M32" s="4"/>
      <c r="N32" s="4"/>
      <c r="O32" s="4"/>
      <c r="P32" s="7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>
      <c r="A33" s="48" t="s">
        <v>6</v>
      </c>
      <c r="B33" s="49" t="str">
        <f>C13</f>
        <v>July 1-15 2026</v>
      </c>
      <c r="C33" s="50"/>
      <c r="D33" s="50"/>
      <c r="E33" s="50"/>
      <c r="F33" s="51"/>
      <c r="G33" s="4"/>
      <c r="H33" s="4"/>
      <c r="I33" s="4"/>
      <c r="J33" s="4"/>
      <c r="K33" s="4"/>
      <c r="L33" s="4"/>
      <c r="M33" s="4"/>
      <c r="N33" s="4"/>
      <c r="O33" s="4"/>
      <c r="P33" s="7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>
      <c r="A34" s="2" t="s">
        <v>17</v>
      </c>
      <c r="B34" s="78" t="s">
        <v>18</v>
      </c>
      <c r="C34" s="79"/>
      <c r="D34" s="80"/>
      <c r="E34" s="82">
        <f>E32*D8</f>
        <v>4214.7</v>
      </c>
      <c r="F34" s="83"/>
      <c r="G34" s="4"/>
      <c r="H34" s="4"/>
      <c r="I34" s="78" t="s">
        <v>18</v>
      </c>
      <c r="J34" s="79"/>
      <c r="K34" s="80"/>
      <c r="L34" s="82">
        <f>L32*K8</f>
        <v>1032.333333</v>
      </c>
      <c r="M34" s="83"/>
      <c r="N34" s="4"/>
      <c r="O34" s="4"/>
      <c r="P34" s="7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ht="22.5" customHeight="1">
      <c r="A35" s="4"/>
      <c r="B35" s="84" t="s">
        <v>19</v>
      </c>
      <c r="C35" s="79"/>
      <c r="D35" s="80"/>
      <c r="E35" s="85">
        <v>250.0</v>
      </c>
      <c r="F35" s="86"/>
      <c r="G35" s="4"/>
      <c r="H35" s="13"/>
      <c r="I35" s="87" t="s">
        <v>20</v>
      </c>
      <c r="J35" s="79"/>
      <c r="K35" s="80"/>
      <c r="L35" s="85">
        <v>1000.0</v>
      </c>
      <c r="M35" s="86"/>
      <c r="N35" s="4"/>
      <c r="O35" s="86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>
      <c r="A36" s="4"/>
      <c r="B36" s="4"/>
      <c r="C36" s="7"/>
      <c r="D36" s="7"/>
      <c r="E36" s="7"/>
      <c r="F36" s="7"/>
      <c r="G36" s="4"/>
      <c r="H36" s="4"/>
      <c r="I36" s="4"/>
      <c r="J36" s="7"/>
      <c r="K36" s="7"/>
      <c r="L36" s="7"/>
      <c r="M36" s="7"/>
      <c r="N36" s="4"/>
      <c r="O36" s="7"/>
      <c r="P36" s="7"/>
      <c r="Q36" s="7"/>
      <c r="R36" s="7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ht="26.25" customHeight="1">
      <c r="A37" s="4"/>
      <c r="B37" s="88" t="s">
        <v>21</v>
      </c>
      <c r="C37" s="79"/>
      <c r="D37" s="80"/>
      <c r="E37" s="82">
        <f>E34+E35</f>
        <v>4464.7</v>
      </c>
      <c r="F37" s="31"/>
      <c r="G37" s="4"/>
      <c r="H37" s="27"/>
      <c r="I37" s="88" t="s">
        <v>21</v>
      </c>
      <c r="J37" s="79"/>
      <c r="K37" s="80"/>
      <c r="L37" s="82">
        <f>L34+L35</f>
        <v>2032.333333</v>
      </c>
      <c r="M37" s="31"/>
      <c r="N37" s="4"/>
      <c r="O37" s="28"/>
      <c r="P37" s="29"/>
      <c r="Q37" s="30"/>
      <c r="R37" s="31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7"/>
      <c r="AX37" s="7"/>
      <c r="AY37" s="7"/>
      <c r="AZ37" s="7"/>
    </row>
    <row r="38">
      <c r="A38" s="4"/>
      <c r="B38" s="4"/>
      <c r="C38" s="7"/>
      <c r="D38" s="7"/>
      <c r="E38" s="7"/>
      <c r="F38" s="4"/>
      <c r="G38" s="4"/>
      <c r="H38" s="4"/>
      <c r="I38" s="4"/>
      <c r="J38" s="7"/>
      <c r="K38" s="89"/>
      <c r="L38" s="89"/>
      <c r="M38" s="4"/>
      <c r="N38" s="4"/>
      <c r="O38" s="7"/>
      <c r="P38" s="7"/>
      <c r="Q38" s="7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7"/>
      <c r="AX38" s="7"/>
      <c r="AY38" s="7"/>
      <c r="AZ38" s="7"/>
    </row>
    <row r="39">
      <c r="A39" s="4"/>
      <c r="B39" s="40"/>
      <c r="C39" s="41"/>
      <c r="D39" s="42"/>
      <c r="E39" s="41"/>
      <c r="F39" s="42"/>
      <c r="G39" s="4"/>
      <c r="H39" s="40"/>
      <c r="I39" s="40"/>
      <c r="J39" s="41"/>
      <c r="K39" s="42"/>
      <c r="L39" s="41"/>
      <c r="M39" s="42"/>
      <c r="N39" s="4"/>
      <c r="O39" s="41"/>
      <c r="P39" s="42"/>
      <c r="Q39" s="41"/>
      <c r="R39" s="4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7"/>
      <c r="AX39" s="7"/>
      <c r="AY39" s="7"/>
      <c r="AZ39" s="7"/>
    </row>
    <row r="40" ht="27.0" customHeight="1">
      <c r="A40" s="4"/>
      <c r="B40" s="90" t="s">
        <v>22</v>
      </c>
      <c r="C40" s="79"/>
      <c r="D40" s="80"/>
      <c r="E40" s="85"/>
      <c r="F40" s="42"/>
      <c r="G40" s="4"/>
      <c r="H40" s="15"/>
      <c r="I40" s="90" t="s">
        <v>22</v>
      </c>
      <c r="J40" s="79"/>
      <c r="K40" s="80"/>
      <c r="L40" s="85" t="s">
        <v>23</v>
      </c>
      <c r="M40" s="42"/>
      <c r="N40" s="4"/>
      <c r="O40" s="44"/>
      <c r="P40" s="42"/>
      <c r="Q40" s="44"/>
      <c r="R40" s="4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7"/>
      <c r="AX40" s="7"/>
      <c r="AY40" s="7"/>
      <c r="AZ40" s="7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>
      <c r="A42" s="4"/>
      <c r="B42" s="91" t="s">
        <v>24</v>
      </c>
      <c r="C42" s="92"/>
      <c r="G42" s="4"/>
      <c r="H42" s="13"/>
      <c r="I42" s="91" t="s">
        <v>24</v>
      </c>
      <c r="J42" s="92"/>
      <c r="N42" s="4"/>
      <c r="O42" s="86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6.75" customHeight="1">
      <c r="A43" s="4"/>
      <c r="B43" s="32"/>
      <c r="C43" s="62"/>
      <c r="D43" s="32"/>
      <c r="E43" s="34"/>
      <c r="F43" s="32"/>
      <c r="G43" s="4"/>
      <c r="H43" s="32"/>
      <c r="I43" s="32"/>
      <c r="J43" s="62"/>
      <c r="K43" s="32"/>
      <c r="L43" s="34"/>
      <c r="M43" s="32"/>
      <c r="N43" s="4"/>
      <c r="O43" s="62"/>
      <c r="P43" s="32"/>
      <c r="Q43" s="34"/>
      <c r="R43" s="3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7"/>
      <c r="AX43" s="7"/>
      <c r="AY43" s="7"/>
      <c r="AZ43" s="7"/>
    </row>
    <row r="44">
      <c r="A44" s="4"/>
      <c r="B44" s="93"/>
      <c r="C44" s="94"/>
      <c r="D44" s="94"/>
      <c r="E44" s="95"/>
      <c r="F44" s="32"/>
      <c r="G44" s="4"/>
      <c r="H44" s="32"/>
      <c r="I44" s="93"/>
      <c r="J44" s="94"/>
      <c r="K44" s="94"/>
      <c r="L44" s="95"/>
      <c r="M44" s="32"/>
      <c r="N44" s="4"/>
      <c r="O44" s="62"/>
      <c r="P44" s="32"/>
      <c r="Q44" s="34"/>
      <c r="R44" s="3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7"/>
      <c r="AX44" s="7"/>
      <c r="AY44" s="7"/>
      <c r="AZ44" s="7"/>
    </row>
    <row r="45">
      <c r="A45" s="4"/>
      <c r="B45" s="96"/>
      <c r="E45" s="97"/>
      <c r="F45" s="32"/>
      <c r="G45" s="4"/>
      <c r="H45" s="32"/>
      <c r="I45" s="96"/>
      <c r="L45" s="97"/>
      <c r="M45" s="32"/>
      <c r="N45" s="4"/>
      <c r="O45" s="62"/>
      <c r="P45" s="32"/>
      <c r="Q45" s="34"/>
      <c r="R45" s="3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7"/>
      <c r="AX45" s="7"/>
      <c r="AY45" s="7"/>
      <c r="AZ45" s="7"/>
    </row>
    <row r="46">
      <c r="A46" s="4"/>
      <c r="B46" s="96"/>
      <c r="E46" s="97"/>
      <c r="F46" s="32"/>
      <c r="G46" s="4"/>
      <c r="H46" s="32"/>
      <c r="I46" s="96"/>
      <c r="L46" s="97"/>
      <c r="M46" s="32"/>
      <c r="N46" s="4"/>
      <c r="O46" s="68"/>
      <c r="P46" s="32"/>
      <c r="Q46" s="34"/>
      <c r="R46" s="3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7"/>
      <c r="AX46" s="7"/>
      <c r="AY46" s="7"/>
      <c r="AZ46" s="7"/>
    </row>
    <row r="47">
      <c r="A47" s="4"/>
      <c r="B47" s="96"/>
      <c r="E47" s="97"/>
      <c r="F47" s="32"/>
      <c r="G47" s="4"/>
      <c r="H47" s="32"/>
      <c r="I47" s="96"/>
      <c r="L47" s="97"/>
      <c r="M47" s="32"/>
      <c r="N47" s="4"/>
      <c r="O47" s="62"/>
      <c r="P47" s="32"/>
      <c r="Q47" s="34"/>
      <c r="R47" s="32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>
      <c r="A48" s="4"/>
      <c r="B48" s="96"/>
      <c r="E48" s="97"/>
      <c r="F48" s="32"/>
      <c r="G48" s="4"/>
      <c r="H48" s="32"/>
      <c r="I48" s="96"/>
      <c r="L48" s="97"/>
      <c r="M48" s="32"/>
      <c r="N48" s="4"/>
      <c r="O48" s="62"/>
      <c r="P48" s="32"/>
      <c r="Q48" s="34"/>
      <c r="R48" s="3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>
      <c r="A49" s="4"/>
      <c r="B49" s="96"/>
      <c r="E49" s="97"/>
      <c r="F49" s="32"/>
      <c r="G49" s="4"/>
      <c r="H49" s="4"/>
      <c r="I49" s="96"/>
      <c r="L49" s="97"/>
      <c r="M49" s="32"/>
      <c r="N49" s="4"/>
      <c r="O49" s="62"/>
      <c r="P49" s="32"/>
      <c r="Q49" s="34"/>
      <c r="R49" s="32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>
      <c r="A50" s="4"/>
      <c r="B50" s="98"/>
      <c r="C50" s="79"/>
      <c r="D50" s="79"/>
      <c r="E50" s="80"/>
      <c r="F50" s="32"/>
      <c r="G50" s="4"/>
      <c r="H50" s="4"/>
      <c r="I50" s="98"/>
      <c r="J50" s="79"/>
      <c r="K50" s="79"/>
      <c r="L50" s="80"/>
      <c r="M50" s="32"/>
      <c r="N50" s="4"/>
      <c r="O50" s="62"/>
      <c r="P50" s="32"/>
      <c r="Q50" s="34"/>
      <c r="R50" s="32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>
      <c r="A51" s="4"/>
      <c r="B51" s="32"/>
      <c r="C51" s="62"/>
      <c r="D51" s="32"/>
      <c r="E51" s="34"/>
      <c r="F51" s="32"/>
      <c r="G51" s="4"/>
      <c r="H51" s="4"/>
      <c r="I51" s="68"/>
      <c r="J51" s="4"/>
      <c r="K51" s="4"/>
      <c r="L51" s="4"/>
      <c r="M51" s="4"/>
      <c r="N51" s="32"/>
      <c r="O51" s="62"/>
      <c r="P51" s="32"/>
      <c r="Q51" s="34"/>
      <c r="R51" s="32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>
      <c r="A52" s="4"/>
      <c r="B52" s="32"/>
      <c r="C52" s="62"/>
      <c r="D52" s="4"/>
      <c r="E52" s="34"/>
      <c r="F52" s="32"/>
      <c r="G52" s="4"/>
      <c r="H52" s="4"/>
      <c r="I52" s="68"/>
      <c r="J52" s="4"/>
      <c r="K52" s="4"/>
      <c r="L52" s="4"/>
      <c r="M52" s="4"/>
      <c r="N52" s="32"/>
      <c r="O52" s="62"/>
      <c r="P52" s="32"/>
      <c r="Q52" s="34"/>
      <c r="R52" s="32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32"/>
      <c r="O53" s="62"/>
      <c r="P53" s="32"/>
      <c r="Q53" s="34"/>
      <c r="R53" s="32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68"/>
      <c r="P54" s="4"/>
      <c r="Q54" s="3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99"/>
      <c r="O55" s="62"/>
      <c r="P55" s="32"/>
      <c r="Q55" s="34"/>
      <c r="R55" s="32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7"/>
      <c r="O56" s="62"/>
      <c r="P56" s="32"/>
      <c r="Q56" s="34"/>
      <c r="R56" s="32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68"/>
      <c r="P57" s="4"/>
      <c r="Q57" s="3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7"/>
      <c r="O58" s="62"/>
      <c r="P58" s="32"/>
      <c r="Q58" s="34"/>
      <c r="R58" s="32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>
      <c r="A61" s="4"/>
      <c r="B61" s="100"/>
      <c r="C61" s="101"/>
      <c r="G61" s="4"/>
      <c r="H61" s="13"/>
      <c r="I61" s="86"/>
      <c r="M61" s="4"/>
      <c r="N61" s="13"/>
      <c r="O61" s="16"/>
      <c r="S61" s="4"/>
      <c r="T61" s="100"/>
      <c r="U61" s="102"/>
      <c r="Y61" s="4"/>
      <c r="Z61" s="13"/>
      <c r="AA61" s="16"/>
      <c r="AE61" s="4"/>
      <c r="AF61" s="13"/>
      <c r="AG61" s="16"/>
      <c r="AK61" s="4"/>
      <c r="AL61" s="13"/>
      <c r="AM61" s="16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>
      <c r="A62" s="4"/>
      <c r="B62" s="4"/>
      <c r="C62" s="7"/>
      <c r="D62" s="7"/>
      <c r="E62" s="7"/>
      <c r="F62" s="7"/>
      <c r="G62" s="4"/>
      <c r="H62" s="4"/>
      <c r="I62" s="7"/>
      <c r="J62" s="7"/>
      <c r="K62" s="7"/>
      <c r="L62" s="7"/>
      <c r="M62" s="4"/>
      <c r="N62" s="4"/>
      <c r="O62" s="7"/>
      <c r="P62" s="7"/>
      <c r="Q62" s="7"/>
      <c r="R62" s="7"/>
      <c r="S62" s="4"/>
      <c r="T62" s="4"/>
      <c r="U62" s="7"/>
      <c r="V62" s="7"/>
      <c r="W62" s="7"/>
      <c r="X62" s="7"/>
      <c r="Y62" s="4"/>
      <c r="Z62" s="4"/>
      <c r="AA62" s="7"/>
      <c r="AB62" s="7"/>
      <c r="AC62" s="7"/>
      <c r="AD62" s="7"/>
      <c r="AE62" s="4"/>
      <c r="AF62" s="4"/>
      <c r="AG62" s="7"/>
      <c r="AH62" s="7"/>
      <c r="AI62" s="7"/>
      <c r="AJ62" s="7"/>
      <c r="AK62" s="4"/>
      <c r="AL62" s="4"/>
      <c r="AM62" s="7"/>
      <c r="AN62" s="7"/>
      <c r="AO62" s="7"/>
      <c r="AP62" s="7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>
      <c r="A63" s="4"/>
      <c r="B63" s="103"/>
      <c r="C63" s="28"/>
      <c r="D63" s="29"/>
      <c r="E63" s="30"/>
      <c r="F63" s="68"/>
      <c r="G63" s="4"/>
      <c r="H63" s="103"/>
      <c r="I63" s="28"/>
      <c r="J63" s="29"/>
      <c r="K63" s="30"/>
      <c r="L63" s="31"/>
      <c r="M63" s="4"/>
      <c r="N63" s="103"/>
      <c r="O63" s="28"/>
      <c r="P63" s="29"/>
      <c r="Q63" s="30"/>
      <c r="R63" s="31"/>
      <c r="S63" s="4"/>
      <c r="T63" s="103"/>
      <c r="U63" s="28"/>
      <c r="V63" s="29"/>
      <c r="W63" s="30"/>
      <c r="X63" s="31"/>
      <c r="Y63" s="4"/>
      <c r="Z63" s="27"/>
      <c r="AA63" s="28"/>
      <c r="AB63" s="29"/>
      <c r="AC63" s="30"/>
      <c r="AD63" s="31"/>
      <c r="AE63" s="4"/>
      <c r="AF63" s="27"/>
      <c r="AG63" s="28"/>
      <c r="AH63" s="29"/>
      <c r="AI63" s="30"/>
      <c r="AJ63" s="31"/>
      <c r="AK63" s="4"/>
      <c r="AL63" s="27"/>
      <c r="AM63" s="28"/>
      <c r="AN63" s="29"/>
      <c r="AO63" s="30"/>
      <c r="AP63" s="31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>
      <c r="A64" s="4"/>
      <c r="B64" s="4"/>
      <c r="C64" s="7"/>
      <c r="D64" s="7"/>
      <c r="E64" s="4"/>
      <c r="F64" s="4"/>
      <c r="G64" s="4"/>
      <c r="H64" s="4"/>
      <c r="I64" s="7"/>
      <c r="J64" s="7"/>
      <c r="K64" s="4"/>
      <c r="L64" s="4"/>
      <c r="M64" s="4"/>
      <c r="N64" s="4"/>
      <c r="O64" s="7"/>
      <c r="P64" s="7"/>
      <c r="Q64" s="4"/>
      <c r="R64" s="4"/>
      <c r="S64" s="4"/>
      <c r="T64" s="103"/>
      <c r="U64" s="28"/>
      <c r="V64" s="29"/>
      <c r="W64" s="103"/>
      <c r="Y64" s="4"/>
      <c r="Z64" s="4"/>
      <c r="AA64" s="7"/>
      <c r="AB64" s="7"/>
      <c r="AC64" s="4"/>
      <c r="AD64" s="4"/>
      <c r="AE64" s="4"/>
      <c r="AF64" s="4"/>
      <c r="AG64" s="7"/>
      <c r="AH64" s="7"/>
      <c r="AI64" s="4"/>
      <c r="AJ64" s="4"/>
      <c r="AK64" s="4"/>
      <c r="AL64" s="4"/>
      <c r="AM64" s="7"/>
      <c r="AN64" s="7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>
      <c r="A65" s="4"/>
      <c r="B65" s="104"/>
      <c r="C65" s="41"/>
      <c r="D65" s="42"/>
      <c r="E65" s="4"/>
      <c r="F65" s="4"/>
      <c r="G65" s="4"/>
      <c r="H65" s="104"/>
      <c r="I65" s="41"/>
      <c r="J65" s="42"/>
      <c r="K65" s="4"/>
      <c r="L65" s="4"/>
      <c r="M65" s="4"/>
      <c r="N65" s="104"/>
      <c r="O65" s="41"/>
      <c r="P65" s="42"/>
      <c r="Q65" s="4"/>
      <c r="R65" s="4"/>
      <c r="S65" s="4"/>
      <c r="T65" s="104"/>
      <c r="U65" s="41"/>
      <c r="V65" s="42"/>
      <c r="W65" s="41"/>
      <c r="X65" s="42"/>
      <c r="Y65" s="4"/>
      <c r="Z65" s="40"/>
      <c r="AA65" s="41"/>
      <c r="AB65" s="42"/>
      <c r="AC65" s="4"/>
      <c r="AD65" s="4"/>
      <c r="AE65" s="4"/>
      <c r="AF65" s="40"/>
      <c r="AG65" s="41"/>
      <c r="AH65" s="42"/>
      <c r="AI65" s="4"/>
      <c r="AJ65" s="4"/>
      <c r="AK65" s="4"/>
      <c r="AL65" s="40"/>
      <c r="AM65" s="41"/>
      <c r="AN65" s="42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>
      <c r="A66" s="4"/>
      <c r="B66" s="105"/>
      <c r="C66" s="44"/>
      <c r="D66" s="42"/>
      <c r="E66" s="4"/>
      <c r="F66" s="4"/>
      <c r="G66" s="4"/>
      <c r="H66" s="105"/>
      <c r="I66" s="44"/>
      <c r="J66" s="42"/>
      <c r="K66" s="4"/>
      <c r="L66" s="4"/>
      <c r="M66" s="4"/>
      <c r="N66" s="105"/>
      <c r="O66" s="44"/>
      <c r="P66" s="42"/>
      <c r="Q66" s="4"/>
      <c r="R66" s="4"/>
      <c r="S66" s="4"/>
      <c r="T66" s="105"/>
      <c r="U66" s="44"/>
      <c r="V66" s="42"/>
      <c r="W66" s="44"/>
      <c r="X66" s="42"/>
      <c r="Y66" s="4"/>
      <c r="Z66" s="15"/>
      <c r="AA66" s="44"/>
      <c r="AB66" s="42"/>
      <c r="AC66" s="4"/>
      <c r="AD66" s="4"/>
      <c r="AE66" s="4"/>
      <c r="AF66" s="15"/>
      <c r="AG66" s="44"/>
      <c r="AH66" s="42"/>
      <c r="AI66" s="4"/>
      <c r="AJ66" s="4"/>
      <c r="AK66" s="4"/>
      <c r="AL66" s="15"/>
      <c r="AM66" s="44"/>
      <c r="AN66" s="42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>
      <c r="A68" s="4"/>
      <c r="B68" s="100"/>
      <c r="C68" s="101"/>
      <c r="G68" s="4"/>
      <c r="H68" s="13"/>
      <c r="I68" s="86"/>
      <c r="M68" s="4"/>
      <c r="N68" s="13"/>
      <c r="O68" s="16"/>
      <c r="S68" s="4"/>
      <c r="T68" s="100"/>
      <c r="U68" s="102"/>
      <c r="Y68" s="4"/>
      <c r="Z68" s="13"/>
      <c r="AA68" s="16"/>
      <c r="AE68" s="4"/>
      <c r="AF68" s="13"/>
      <c r="AG68" s="16"/>
      <c r="AK68" s="4"/>
      <c r="AL68" s="13"/>
      <c r="AM68" s="16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>
      <c r="A69" s="4"/>
      <c r="B69" s="17"/>
      <c r="C69" s="17"/>
      <c r="D69" s="17"/>
      <c r="E69" s="18"/>
      <c r="F69" s="17"/>
      <c r="G69" s="4"/>
      <c r="H69" s="17"/>
      <c r="I69" s="17"/>
      <c r="J69" s="17"/>
      <c r="K69" s="18"/>
      <c r="L69" s="17"/>
      <c r="M69" s="4"/>
      <c r="N69" s="17"/>
      <c r="O69" s="17"/>
      <c r="P69" s="17"/>
      <c r="Q69" s="18"/>
      <c r="R69" s="17"/>
      <c r="S69" s="4"/>
      <c r="T69" s="17"/>
      <c r="U69" s="17"/>
      <c r="V69" s="17"/>
      <c r="W69" s="18"/>
      <c r="X69" s="17"/>
      <c r="Y69" s="4"/>
      <c r="Z69" s="17"/>
      <c r="AA69" s="17"/>
      <c r="AB69" s="17"/>
      <c r="AC69" s="18"/>
      <c r="AD69" s="17"/>
      <c r="AE69" s="4"/>
      <c r="AF69" s="17"/>
      <c r="AG69" s="17"/>
      <c r="AH69" s="17"/>
      <c r="AI69" s="18"/>
      <c r="AJ69" s="17"/>
      <c r="AK69" s="4"/>
      <c r="AL69" s="17"/>
      <c r="AM69" s="17"/>
      <c r="AN69" s="17"/>
      <c r="AO69" s="18"/>
      <c r="AP69" s="17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>
      <c r="A70" s="4"/>
      <c r="B70" s="32"/>
      <c r="C70" s="33"/>
      <c r="D70" s="32"/>
      <c r="E70" s="33"/>
      <c r="F70" s="32"/>
      <c r="G70" s="4"/>
      <c r="H70" s="32"/>
      <c r="I70" s="33"/>
      <c r="J70" s="32"/>
      <c r="K70" s="33"/>
      <c r="L70" s="32"/>
      <c r="M70" s="4"/>
      <c r="N70" s="32"/>
      <c r="O70" s="33"/>
      <c r="P70" s="32"/>
      <c r="Q70" s="33"/>
      <c r="R70" s="32"/>
      <c r="S70" s="4"/>
      <c r="T70" s="32"/>
      <c r="U70" s="33"/>
      <c r="V70" s="32"/>
      <c r="W70" s="33"/>
      <c r="X70" s="32"/>
      <c r="Y70" s="4"/>
      <c r="Z70" s="32"/>
      <c r="AA70" s="33"/>
      <c r="AB70" s="32"/>
      <c r="AC70" s="33"/>
      <c r="AD70" s="32"/>
      <c r="AE70" s="4"/>
      <c r="AF70" s="32"/>
      <c r="AG70" s="33"/>
      <c r="AH70" s="32"/>
      <c r="AI70" s="33"/>
      <c r="AJ70" s="32"/>
      <c r="AK70" s="4"/>
      <c r="AL70" s="32"/>
      <c r="AM70" s="33"/>
      <c r="AN70" s="32"/>
      <c r="AO70" s="33"/>
      <c r="AP70" s="32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>
      <c r="A71" s="4"/>
      <c r="B71" s="32"/>
      <c r="C71" s="33"/>
      <c r="D71" s="32"/>
      <c r="E71" s="33"/>
      <c r="F71" s="32"/>
      <c r="G71" s="4"/>
      <c r="H71" s="32"/>
      <c r="I71" s="33"/>
      <c r="J71" s="32"/>
      <c r="K71" s="33"/>
      <c r="L71" s="32"/>
      <c r="M71" s="4"/>
      <c r="N71" s="32"/>
      <c r="O71" s="33"/>
      <c r="P71" s="32"/>
      <c r="Q71" s="33"/>
      <c r="R71" s="32"/>
      <c r="S71" s="4"/>
      <c r="T71" s="32"/>
      <c r="U71" s="33"/>
      <c r="V71" s="32"/>
      <c r="W71" s="33"/>
      <c r="X71" s="32"/>
      <c r="Y71" s="4"/>
      <c r="Z71" s="32"/>
      <c r="AA71" s="33"/>
      <c r="AB71" s="32"/>
      <c r="AC71" s="33"/>
      <c r="AD71" s="32"/>
      <c r="AE71" s="4"/>
      <c r="AF71" s="32"/>
      <c r="AG71" s="33"/>
      <c r="AH71" s="32"/>
      <c r="AI71" s="33"/>
      <c r="AJ71" s="32"/>
      <c r="AK71" s="4"/>
      <c r="AL71" s="32"/>
      <c r="AM71" s="33"/>
      <c r="AN71" s="32"/>
      <c r="AO71" s="33"/>
      <c r="AP71" s="32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>
      <c r="A72" s="4"/>
      <c r="B72" s="32"/>
      <c r="C72" s="33"/>
      <c r="D72" s="32"/>
      <c r="E72" s="33"/>
      <c r="F72" s="32"/>
      <c r="G72" s="4"/>
      <c r="H72" s="32"/>
      <c r="I72" s="33"/>
      <c r="J72" s="32"/>
      <c r="K72" s="33"/>
      <c r="L72" s="32"/>
      <c r="M72" s="4"/>
      <c r="N72" s="32"/>
      <c r="O72" s="33"/>
      <c r="P72" s="32"/>
      <c r="Q72" s="33"/>
      <c r="R72" s="32"/>
      <c r="S72" s="4"/>
      <c r="T72" s="4"/>
      <c r="U72" s="4"/>
      <c r="V72" s="32"/>
      <c r="W72" s="4"/>
      <c r="X72" s="32"/>
      <c r="Y72" s="4"/>
      <c r="Z72" s="32"/>
      <c r="AA72" s="33"/>
      <c r="AB72" s="32"/>
      <c r="AC72" s="33"/>
      <c r="AD72" s="32"/>
      <c r="AE72" s="4"/>
      <c r="AF72" s="4"/>
      <c r="AG72" s="4"/>
      <c r="AH72" s="32"/>
      <c r="AI72" s="33"/>
      <c r="AJ72" s="32"/>
      <c r="AK72" s="4"/>
      <c r="AL72" s="32"/>
      <c r="AM72" s="33"/>
      <c r="AN72" s="32"/>
      <c r="AO72" s="33"/>
      <c r="AP72" s="32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>
      <c r="A73" s="4"/>
      <c r="B73" s="32"/>
      <c r="C73" s="33"/>
      <c r="D73" s="32"/>
      <c r="E73" s="33"/>
      <c r="F73" s="32"/>
      <c r="G73" s="4"/>
      <c r="H73" s="32"/>
      <c r="I73" s="33"/>
      <c r="J73" s="32"/>
      <c r="K73" s="33"/>
      <c r="L73" s="32"/>
      <c r="M73" s="4"/>
      <c r="N73" s="32"/>
      <c r="O73" s="33"/>
      <c r="P73" s="32"/>
      <c r="Q73" s="33"/>
      <c r="R73" s="32"/>
      <c r="S73" s="4"/>
      <c r="T73" s="4"/>
      <c r="U73" s="4"/>
      <c r="V73" s="32"/>
      <c r="W73" s="4"/>
      <c r="X73" s="32"/>
      <c r="Y73" s="4"/>
      <c r="Z73" s="32"/>
      <c r="AA73" s="33"/>
      <c r="AB73" s="32"/>
      <c r="AC73" s="33"/>
      <c r="AD73" s="32"/>
      <c r="AE73" s="4"/>
      <c r="AF73" s="4"/>
      <c r="AG73" s="4"/>
      <c r="AH73" s="32"/>
      <c r="AI73" s="33"/>
      <c r="AJ73" s="32"/>
      <c r="AK73" s="4"/>
      <c r="AL73" s="4"/>
      <c r="AM73" s="4"/>
      <c r="AN73" s="32"/>
      <c r="AO73" s="33"/>
      <c r="AP73" s="32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>
      <c r="A74" s="4"/>
      <c r="B74" s="4"/>
      <c r="C74" s="4"/>
      <c r="D74" s="4"/>
      <c r="E74" s="4"/>
      <c r="F74" s="4"/>
      <c r="G74" s="4"/>
      <c r="H74" s="32"/>
      <c r="I74" s="33"/>
      <c r="J74" s="32"/>
      <c r="K74" s="33"/>
      <c r="L74" s="32"/>
      <c r="M74" s="4"/>
      <c r="N74" s="32"/>
      <c r="O74" s="33"/>
      <c r="P74" s="32"/>
      <c r="Q74" s="33"/>
      <c r="R74" s="32"/>
      <c r="S74" s="4"/>
      <c r="T74" s="4"/>
      <c r="U74" s="4"/>
      <c r="V74" s="32"/>
      <c r="W74" s="4"/>
      <c r="X74" s="32"/>
      <c r="Y74" s="4"/>
      <c r="Z74" s="32"/>
      <c r="AA74" s="33"/>
      <c r="AB74" s="32"/>
      <c r="AC74" s="33"/>
      <c r="AD74" s="32"/>
      <c r="AE74" s="4"/>
      <c r="AF74" s="32"/>
      <c r="AG74" s="33"/>
      <c r="AH74" s="32"/>
      <c r="AI74" s="33"/>
      <c r="AJ74" s="32"/>
      <c r="AK74" s="4"/>
      <c r="AL74" s="32"/>
      <c r="AM74" s="33"/>
      <c r="AN74" s="32"/>
      <c r="AO74" s="33"/>
      <c r="AP74" s="32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32"/>
      <c r="U75" s="33"/>
      <c r="V75" s="32"/>
      <c r="W75" s="62"/>
      <c r="X75" s="32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32"/>
      <c r="U76" s="33"/>
      <c r="V76" s="32"/>
      <c r="W76" s="33"/>
      <c r="X76" s="32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32"/>
      <c r="U77" s="33"/>
      <c r="V77" s="32"/>
      <c r="W77" s="33"/>
      <c r="X77" s="32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>
      <c r="A80" s="4"/>
      <c r="B80" s="13"/>
      <c r="C80" s="8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>
      <c r="A81" s="4"/>
      <c r="B81" s="4"/>
      <c r="C81" s="7"/>
      <c r="D81" s="7"/>
      <c r="E81" s="7"/>
      <c r="F81" s="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>
      <c r="A82" s="4"/>
      <c r="B82" s="27"/>
      <c r="C82" s="28"/>
      <c r="D82" s="29"/>
      <c r="E82" s="30"/>
      <c r="F82" s="3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>
      <c r="A83" s="4"/>
      <c r="B83" s="4"/>
      <c r="C83" s="7"/>
      <c r="D83" s="7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>
      <c r="A84" s="4"/>
      <c r="B84" s="40"/>
      <c r="C84" s="41"/>
      <c r="D84" s="4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>
      <c r="A85" s="4"/>
      <c r="B85" s="15"/>
      <c r="C85" s="44"/>
      <c r="D85" s="4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>
      <c r="A87" s="4"/>
      <c r="B87" s="13"/>
      <c r="C87" s="8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>
      <c r="A88" s="4"/>
      <c r="B88" s="17"/>
      <c r="C88" s="17"/>
      <c r="D88" s="17"/>
      <c r="E88" s="18"/>
      <c r="F88" s="1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>
      <c r="A89" s="4"/>
      <c r="B89" s="32"/>
      <c r="C89" s="33"/>
      <c r="D89" s="32"/>
      <c r="E89" s="33"/>
      <c r="F89" s="3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>
      <c r="A90" s="4"/>
      <c r="B90" s="32"/>
      <c r="C90" s="33"/>
      <c r="D90" s="32"/>
      <c r="E90" s="33"/>
      <c r="F90" s="3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>
      <c r="A91" s="4"/>
      <c r="B91" s="32"/>
      <c r="C91" s="33"/>
      <c r="D91" s="32"/>
      <c r="E91" s="33"/>
      <c r="F91" s="3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>
      <c r="A92" s="4"/>
      <c r="B92" s="32"/>
      <c r="C92" s="33"/>
      <c r="D92" s="32"/>
      <c r="E92" s="33"/>
      <c r="F92" s="3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  <c r="AA1001" s="106"/>
      <c r="AB1001" s="106"/>
      <c r="AC1001" s="106"/>
      <c r="AD1001" s="106"/>
      <c r="AE1001" s="106"/>
      <c r="AF1001" s="106"/>
      <c r="AG1001" s="106"/>
      <c r="AH1001" s="106"/>
      <c r="AI1001" s="106"/>
      <c r="AJ1001" s="106"/>
      <c r="AK1001" s="106"/>
      <c r="AL1001" s="106"/>
      <c r="AM1001" s="106"/>
      <c r="AN1001" s="106"/>
      <c r="AO1001" s="106"/>
      <c r="AP1001" s="106"/>
      <c r="AQ1001" s="106"/>
      <c r="AR1001" s="106"/>
      <c r="AS1001" s="106"/>
      <c r="AT1001" s="106"/>
      <c r="AU1001" s="106"/>
      <c r="AV1001" s="106"/>
      <c r="AW1001" s="106"/>
      <c r="AX1001" s="106"/>
      <c r="AY1001" s="106"/>
      <c r="AZ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  <c r="AA1002" s="106"/>
      <c r="AB1002" s="106"/>
      <c r="AC1002" s="106"/>
      <c r="AD1002" s="106"/>
      <c r="AE1002" s="106"/>
      <c r="AF1002" s="106"/>
      <c r="AG1002" s="106"/>
      <c r="AH1002" s="106"/>
      <c r="AI1002" s="106"/>
      <c r="AJ1002" s="106"/>
      <c r="AK1002" s="106"/>
      <c r="AL1002" s="106"/>
      <c r="AM1002" s="106"/>
      <c r="AN1002" s="106"/>
      <c r="AO1002" s="106"/>
      <c r="AP1002" s="106"/>
      <c r="AQ1002" s="106"/>
      <c r="AR1002" s="106"/>
      <c r="AS1002" s="106"/>
      <c r="AT1002" s="106"/>
      <c r="AU1002" s="106"/>
      <c r="AV1002" s="106"/>
      <c r="AW1002" s="106"/>
      <c r="AX1002" s="106"/>
      <c r="AY1002" s="106"/>
      <c r="AZ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  <c r="AA1003" s="106"/>
      <c r="AB1003" s="106"/>
      <c r="AC1003" s="106"/>
      <c r="AD1003" s="106"/>
      <c r="AE1003" s="106"/>
      <c r="AF1003" s="106"/>
      <c r="AG1003" s="106"/>
      <c r="AH1003" s="106"/>
      <c r="AI1003" s="106"/>
      <c r="AJ1003" s="106"/>
      <c r="AK1003" s="106"/>
      <c r="AL1003" s="106"/>
      <c r="AM1003" s="106"/>
      <c r="AN1003" s="106"/>
      <c r="AO1003" s="106"/>
      <c r="AP1003" s="106"/>
      <c r="AQ1003" s="106"/>
      <c r="AR1003" s="106"/>
      <c r="AS1003" s="106"/>
      <c r="AT1003" s="106"/>
      <c r="AU1003" s="106"/>
      <c r="AV1003" s="106"/>
      <c r="AW1003" s="106"/>
      <c r="AX1003" s="106"/>
      <c r="AY1003" s="106"/>
      <c r="AZ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  <c r="AA1004" s="106"/>
      <c r="AB1004" s="106"/>
      <c r="AC1004" s="106"/>
      <c r="AD1004" s="106"/>
      <c r="AE1004" s="106"/>
      <c r="AF1004" s="106"/>
      <c r="AG1004" s="106"/>
      <c r="AH1004" s="106"/>
      <c r="AI1004" s="106"/>
      <c r="AJ1004" s="106"/>
      <c r="AK1004" s="106"/>
      <c r="AL1004" s="106"/>
      <c r="AM1004" s="106"/>
      <c r="AN1004" s="106"/>
      <c r="AO1004" s="106"/>
      <c r="AP1004" s="106"/>
      <c r="AQ1004" s="106"/>
      <c r="AR1004" s="106"/>
      <c r="AS1004" s="106"/>
      <c r="AT1004" s="106"/>
      <c r="AU1004" s="106"/>
      <c r="AV1004" s="106"/>
      <c r="AW1004" s="106"/>
      <c r="AX1004" s="106"/>
      <c r="AY1004" s="106"/>
      <c r="AZ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  <c r="AA1005" s="106"/>
      <c r="AB1005" s="106"/>
      <c r="AC1005" s="106"/>
      <c r="AD1005" s="106"/>
      <c r="AE1005" s="106"/>
      <c r="AF1005" s="106"/>
      <c r="AG1005" s="106"/>
      <c r="AH1005" s="106"/>
      <c r="AI1005" s="106"/>
      <c r="AJ1005" s="106"/>
      <c r="AK1005" s="106"/>
      <c r="AL1005" s="106"/>
      <c r="AM1005" s="106"/>
      <c r="AN1005" s="106"/>
      <c r="AO1005" s="106"/>
      <c r="AP1005" s="106"/>
      <c r="AQ1005" s="106"/>
      <c r="AR1005" s="106"/>
      <c r="AS1005" s="106"/>
      <c r="AT1005" s="106"/>
      <c r="AU1005" s="106"/>
      <c r="AV1005" s="106"/>
      <c r="AW1005" s="106"/>
      <c r="AX1005" s="106"/>
      <c r="AY1005" s="106"/>
      <c r="AZ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  <c r="AA1006" s="106"/>
      <c r="AB1006" s="106"/>
      <c r="AC1006" s="106"/>
      <c r="AD1006" s="106"/>
      <c r="AE1006" s="106"/>
      <c r="AF1006" s="106"/>
      <c r="AG1006" s="106"/>
      <c r="AH1006" s="106"/>
      <c r="AI1006" s="106"/>
      <c r="AJ1006" s="106"/>
      <c r="AK1006" s="106"/>
      <c r="AL1006" s="106"/>
      <c r="AM1006" s="106"/>
      <c r="AN1006" s="106"/>
      <c r="AO1006" s="106"/>
      <c r="AP1006" s="106"/>
      <c r="AQ1006" s="106"/>
      <c r="AR1006" s="106"/>
      <c r="AS1006" s="106"/>
      <c r="AT1006" s="106"/>
      <c r="AU1006" s="106"/>
      <c r="AV1006" s="106"/>
      <c r="AW1006" s="106"/>
      <c r="AX1006" s="106"/>
      <c r="AY1006" s="106"/>
      <c r="AZ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  <c r="AA1007" s="106"/>
      <c r="AB1007" s="106"/>
      <c r="AC1007" s="106"/>
      <c r="AD1007" s="106"/>
      <c r="AE1007" s="106"/>
      <c r="AF1007" s="106"/>
      <c r="AG1007" s="106"/>
      <c r="AH1007" s="106"/>
      <c r="AI1007" s="106"/>
      <c r="AJ1007" s="106"/>
      <c r="AK1007" s="106"/>
      <c r="AL1007" s="106"/>
      <c r="AM1007" s="106"/>
      <c r="AN1007" s="106"/>
      <c r="AO1007" s="106"/>
      <c r="AP1007" s="106"/>
      <c r="AQ1007" s="106"/>
      <c r="AR1007" s="106"/>
      <c r="AS1007" s="106"/>
      <c r="AT1007" s="106"/>
      <c r="AU1007" s="106"/>
      <c r="AV1007" s="106"/>
      <c r="AW1007" s="106"/>
      <c r="AX1007" s="106"/>
      <c r="AY1007" s="106"/>
      <c r="AZ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  <c r="AA1008" s="106"/>
      <c r="AB1008" s="106"/>
      <c r="AC1008" s="106"/>
      <c r="AD1008" s="106"/>
      <c r="AE1008" s="106"/>
      <c r="AF1008" s="106"/>
      <c r="AG1008" s="106"/>
      <c r="AH1008" s="106"/>
      <c r="AI1008" s="106"/>
      <c r="AJ1008" s="106"/>
      <c r="AK1008" s="106"/>
      <c r="AL1008" s="106"/>
      <c r="AM1008" s="106"/>
      <c r="AN1008" s="106"/>
      <c r="AO1008" s="106"/>
      <c r="AP1008" s="106"/>
      <c r="AQ1008" s="106"/>
      <c r="AR1008" s="106"/>
      <c r="AS1008" s="106"/>
      <c r="AT1008" s="106"/>
      <c r="AU1008" s="106"/>
      <c r="AV1008" s="106"/>
      <c r="AW1008" s="106"/>
      <c r="AX1008" s="106"/>
      <c r="AY1008" s="106"/>
      <c r="AZ1008" s="106"/>
    </row>
  </sheetData>
  <mergeCells count="46">
    <mergeCell ref="I34:K34"/>
    <mergeCell ref="I35:K35"/>
    <mergeCell ref="O35:R35"/>
    <mergeCell ref="B31:D31"/>
    <mergeCell ref="I31:K31"/>
    <mergeCell ref="B32:D32"/>
    <mergeCell ref="I32:K32"/>
    <mergeCell ref="B33:F33"/>
    <mergeCell ref="B34:D34"/>
    <mergeCell ref="B35:D35"/>
    <mergeCell ref="O13:R13"/>
    <mergeCell ref="U13:X13"/>
    <mergeCell ref="AR13:AZ13"/>
    <mergeCell ref="C5:F5"/>
    <mergeCell ref="J5:M5"/>
    <mergeCell ref="O5:R5"/>
    <mergeCell ref="U5:X5"/>
    <mergeCell ref="Z5:AD5"/>
    <mergeCell ref="C13:G13"/>
    <mergeCell ref="J13:N13"/>
    <mergeCell ref="B37:D37"/>
    <mergeCell ref="I37:K37"/>
    <mergeCell ref="B40:D40"/>
    <mergeCell ref="I40:K40"/>
    <mergeCell ref="C42:F42"/>
    <mergeCell ref="O42:R42"/>
    <mergeCell ref="B44:E50"/>
    <mergeCell ref="AG61:AJ61"/>
    <mergeCell ref="AM61:AP61"/>
    <mergeCell ref="W64:X64"/>
    <mergeCell ref="C68:F68"/>
    <mergeCell ref="I68:L68"/>
    <mergeCell ref="O68:R68"/>
    <mergeCell ref="U68:X68"/>
    <mergeCell ref="AA68:AD68"/>
    <mergeCell ref="AG68:AJ68"/>
    <mergeCell ref="AM68:AP68"/>
    <mergeCell ref="J42:M42"/>
    <mergeCell ref="I44:L50"/>
    <mergeCell ref="C61:F61"/>
    <mergeCell ref="I61:L61"/>
    <mergeCell ref="O61:R61"/>
    <mergeCell ref="U61:X61"/>
    <mergeCell ref="AA61:AD61"/>
    <mergeCell ref="C80:F80"/>
    <mergeCell ref="C87:F8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63"/>
    <col customWidth="1" min="2" max="2" width="17.25"/>
    <col customWidth="1" min="3" max="3" width="10.25"/>
    <col customWidth="1" min="4" max="4" width="9.0"/>
    <col customWidth="1" min="5" max="5" width="13.88"/>
    <col customWidth="1" min="13" max="13" width="19.5"/>
  </cols>
  <sheetData>
    <row r="1">
      <c r="A1" s="107"/>
      <c r="B1" s="108" t="s">
        <v>25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</row>
    <row r="2" ht="7.5" customHeight="1">
      <c r="A2" s="107"/>
      <c r="B2" s="109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>
      <c r="A4" s="4"/>
      <c r="B4" s="5"/>
      <c r="C4" s="6"/>
      <c r="D4" s="6"/>
      <c r="E4" s="6"/>
      <c r="F4" s="6"/>
      <c r="G4" s="4"/>
      <c r="H4" s="4"/>
      <c r="I4" s="4"/>
      <c r="J4" s="4"/>
      <c r="K4" s="4"/>
      <c r="L4" s="4"/>
      <c r="M4" s="4"/>
      <c r="N4" s="4"/>
      <c r="O4" s="7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ht="24.75" customHeight="1">
      <c r="A5" s="8"/>
      <c r="B5" s="9" t="s">
        <v>1</v>
      </c>
      <c r="C5" s="10">
        <v>400.0</v>
      </c>
      <c r="D5" s="11"/>
      <c r="E5" s="11"/>
      <c r="F5" s="12"/>
      <c r="G5" s="4"/>
      <c r="H5" s="13"/>
      <c r="I5" s="110"/>
      <c r="J5" s="111"/>
      <c r="N5" s="4"/>
      <c r="O5" s="9" t="s">
        <v>1</v>
      </c>
      <c r="P5" s="10">
        <v>400.0</v>
      </c>
      <c r="Q5" s="11"/>
      <c r="R5" s="11"/>
      <c r="S5" s="12"/>
      <c r="T5" s="4"/>
      <c r="U5" s="13"/>
      <c r="V5" s="110"/>
      <c r="W5" s="111"/>
      <c r="AA5" s="16"/>
      <c r="AB5" s="16"/>
      <c r="AC5" s="16"/>
      <c r="AD5" s="16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>
      <c r="A6" s="4"/>
      <c r="B6" s="4"/>
      <c r="C6" s="7"/>
      <c r="D6" s="7"/>
      <c r="E6" s="7"/>
      <c r="F6" s="7"/>
      <c r="G6" s="4"/>
      <c r="H6" s="4"/>
      <c r="I6" s="4"/>
      <c r="J6" s="7"/>
      <c r="K6" s="7"/>
      <c r="L6" s="7"/>
      <c r="M6" s="7"/>
      <c r="N6" s="4"/>
      <c r="O6" s="4"/>
      <c r="P6" s="7"/>
      <c r="Q6" s="7"/>
      <c r="R6" s="7"/>
      <c r="S6" s="7"/>
      <c r="T6" s="4"/>
      <c r="U6" s="4"/>
      <c r="V6" s="4"/>
      <c r="W6" s="7"/>
      <c r="X6" s="7"/>
      <c r="Y6" s="7"/>
      <c r="Z6" s="7"/>
      <c r="AA6" s="17"/>
      <c r="AB6" s="17"/>
      <c r="AC6" s="18"/>
      <c r="AD6" s="18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>
      <c r="A7" s="4"/>
      <c r="B7" s="19"/>
      <c r="C7" s="20"/>
      <c r="D7" s="20"/>
      <c r="E7" s="7"/>
      <c r="F7" s="7"/>
      <c r="G7" s="4"/>
      <c r="H7" s="4"/>
      <c r="I7" s="7"/>
      <c r="J7" s="4"/>
      <c r="K7" s="83" t="s">
        <v>26</v>
      </c>
      <c r="L7" s="4"/>
      <c r="M7" s="83"/>
      <c r="N7" s="4"/>
      <c r="O7" s="19"/>
      <c r="P7" s="20"/>
      <c r="Q7" s="20"/>
      <c r="R7" s="7"/>
      <c r="S7" s="7"/>
      <c r="T7" s="4"/>
      <c r="U7" s="4"/>
      <c r="V7" s="7"/>
      <c r="W7" s="4"/>
      <c r="X7" s="83" t="s">
        <v>26</v>
      </c>
      <c r="Y7" s="4"/>
      <c r="Z7" s="83"/>
      <c r="AA7" s="17"/>
      <c r="AB7" s="17"/>
      <c r="AC7" s="18"/>
      <c r="AD7" s="18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>
      <c r="A8" s="21"/>
      <c r="B8" s="112" t="s">
        <v>1</v>
      </c>
      <c r="C8" s="23" t="s">
        <v>2</v>
      </c>
      <c r="D8" s="24">
        <v>420.0</v>
      </c>
      <c r="E8" s="113" t="s">
        <v>3</v>
      </c>
      <c r="F8" s="26">
        <v>10.0</v>
      </c>
      <c r="G8" s="4"/>
      <c r="H8" s="27"/>
      <c r="I8" s="14"/>
      <c r="M8" s="83"/>
      <c r="N8" s="4"/>
      <c r="O8" s="112" t="s">
        <v>1</v>
      </c>
      <c r="P8" s="23" t="s">
        <v>2</v>
      </c>
      <c r="Q8" s="24">
        <v>400.0</v>
      </c>
      <c r="R8" s="113" t="s">
        <v>3</v>
      </c>
      <c r="S8" s="26">
        <v>10.0</v>
      </c>
      <c r="T8" s="4"/>
      <c r="U8" s="27"/>
      <c r="V8" s="14"/>
      <c r="Z8" s="83"/>
      <c r="AA8" s="33"/>
      <c r="AB8" s="32"/>
      <c r="AC8" s="34"/>
      <c r="AD8" s="32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>
      <c r="A9" s="4"/>
      <c r="B9" s="19"/>
      <c r="C9" s="20"/>
      <c r="D9" s="20"/>
      <c r="E9" s="20"/>
      <c r="F9" s="19"/>
      <c r="G9" s="4"/>
      <c r="H9" s="4"/>
      <c r="I9" s="7"/>
      <c r="J9" s="7"/>
      <c r="K9" s="89" t="s">
        <v>9</v>
      </c>
      <c r="L9" s="89" t="s">
        <v>27</v>
      </c>
      <c r="M9" s="83" t="s">
        <v>22</v>
      </c>
      <c r="N9" s="4"/>
      <c r="O9" s="19"/>
      <c r="P9" s="20"/>
      <c r="Q9" s="20"/>
      <c r="R9" s="20"/>
      <c r="S9" s="19"/>
      <c r="T9" s="4"/>
      <c r="U9" s="4"/>
      <c r="V9" s="7"/>
      <c r="W9" s="7"/>
      <c r="X9" s="89" t="s">
        <v>9</v>
      </c>
      <c r="Y9" s="89" t="s">
        <v>27</v>
      </c>
      <c r="Z9" s="83" t="s">
        <v>22</v>
      </c>
      <c r="AA9" s="33"/>
      <c r="AB9" s="32"/>
      <c r="AC9" s="34"/>
      <c r="AD9" s="32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>
      <c r="A10" s="21"/>
      <c r="B10" s="114" t="s">
        <v>4</v>
      </c>
      <c r="C10" s="36">
        <v>9.0</v>
      </c>
      <c r="D10" s="115" t="s">
        <v>5</v>
      </c>
      <c r="E10" s="38" t="s">
        <v>2</v>
      </c>
      <c r="F10" s="39">
        <f>D8/C10</f>
        <v>46.66666667</v>
      </c>
      <c r="G10" s="4"/>
      <c r="H10" s="40"/>
      <c r="I10" s="116"/>
      <c r="J10" s="117"/>
      <c r="K10" s="56">
        <v>45949.0</v>
      </c>
      <c r="L10" s="118">
        <v>50.0</v>
      </c>
      <c r="M10" s="119" t="s">
        <v>28</v>
      </c>
      <c r="N10" s="120"/>
      <c r="O10" s="114" t="s">
        <v>4</v>
      </c>
      <c r="P10" s="36">
        <v>9.0</v>
      </c>
      <c r="Q10" s="115" t="s">
        <v>5</v>
      </c>
      <c r="R10" s="38" t="s">
        <v>2</v>
      </c>
      <c r="S10" s="39">
        <f>Q8/P10</f>
        <v>44.44444444</v>
      </c>
      <c r="T10" s="4"/>
      <c r="U10" s="40"/>
      <c r="V10" s="116"/>
      <c r="W10" s="117"/>
      <c r="X10" s="56">
        <v>45949.0</v>
      </c>
      <c r="Y10" s="118">
        <v>50.0</v>
      </c>
      <c r="Z10" s="119" t="s">
        <v>28</v>
      </c>
      <c r="AA10" s="4"/>
      <c r="AB10" s="32"/>
      <c r="AC10" s="34"/>
      <c r="AD10" s="32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>
      <c r="A11" s="4"/>
      <c r="B11" s="43"/>
      <c r="C11" s="43"/>
      <c r="D11" s="43"/>
      <c r="E11" s="43"/>
      <c r="F11" s="43"/>
      <c r="G11" s="4"/>
      <c r="H11" s="15"/>
      <c r="I11" s="121"/>
      <c r="J11" s="121"/>
      <c r="K11" s="56">
        <v>45950.0</v>
      </c>
      <c r="L11" s="122">
        <v>50.0</v>
      </c>
      <c r="M11" s="119" t="s">
        <v>28</v>
      </c>
      <c r="N11" s="120"/>
      <c r="O11" s="43"/>
      <c r="P11" s="43"/>
      <c r="Q11" s="43"/>
      <c r="R11" s="43"/>
      <c r="S11" s="43"/>
      <c r="T11" s="4"/>
      <c r="U11" s="15"/>
      <c r="V11" s="121"/>
      <c r="W11" s="121"/>
      <c r="X11" s="56">
        <v>45950.0</v>
      </c>
      <c r="Y11" s="122">
        <v>50.0</v>
      </c>
      <c r="Z11" s="119" t="s">
        <v>28</v>
      </c>
      <c r="AA11" s="4"/>
      <c r="AB11" s="4"/>
      <c r="AC11" s="34"/>
      <c r="AD11" s="32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>
      <c r="A12" s="4"/>
      <c r="B12" s="4"/>
      <c r="C12" s="4"/>
      <c r="D12" s="4"/>
      <c r="E12" s="4"/>
      <c r="F12" s="4"/>
      <c r="G12" s="4"/>
      <c r="H12" s="4"/>
      <c r="I12" s="120"/>
      <c r="J12" s="120"/>
      <c r="K12" s="56">
        <v>45967.0</v>
      </c>
      <c r="L12" s="123">
        <v>500.0</v>
      </c>
      <c r="M12" s="119" t="s">
        <v>28</v>
      </c>
      <c r="N12" s="120"/>
      <c r="O12" s="4"/>
      <c r="P12" s="4"/>
      <c r="Q12" s="4"/>
      <c r="R12" s="4"/>
      <c r="S12" s="4"/>
      <c r="T12" s="4"/>
      <c r="U12" s="4"/>
      <c r="V12" s="120"/>
      <c r="W12" s="120"/>
      <c r="X12" s="56">
        <v>45967.0</v>
      </c>
      <c r="Y12" s="123">
        <v>500.0</v>
      </c>
      <c r="Z12" s="119" t="s">
        <v>28</v>
      </c>
      <c r="AA12" s="31"/>
      <c r="AB12" s="45"/>
      <c r="AC12" s="46"/>
      <c r="AD12" s="47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ht="31.5" customHeight="1">
      <c r="A13" s="4"/>
      <c r="B13" s="48" t="s">
        <v>6</v>
      </c>
      <c r="C13" s="49" t="s">
        <v>29</v>
      </c>
      <c r="D13" s="50"/>
      <c r="E13" s="50"/>
      <c r="F13" s="50"/>
      <c r="G13" s="51"/>
      <c r="H13" s="13"/>
      <c r="I13" s="91"/>
      <c r="J13" s="124"/>
      <c r="K13" s="56">
        <v>45974.0</v>
      </c>
      <c r="L13" s="118">
        <v>500.0</v>
      </c>
      <c r="M13" s="119" t="s">
        <v>28</v>
      </c>
      <c r="N13" s="124"/>
      <c r="O13" s="48" t="s">
        <v>6</v>
      </c>
      <c r="P13" s="49" t="s">
        <v>30</v>
      </c>
      <c r="Q13" s="50"/>
      <c r="R13" s="50"/>
      <c r="S13" s="50"/>
      <c r="T13" s="51"/>
      <c r="U13" s="13"/>
      <c r="V13" s="91"/>
      <c r="W13" s="124"/>
      <c r="X13" s="56">
        <v>45974.0</v>
      </c>
      <c r="Y13" s="118">
        <v>500.0</v>
      </c>
      <c r="Z13" s="119" t="s">
        <v>28</v>
      </c>
      <c r="AA13" s="7"/>
      <c r="AB13" s="7"/>
      <c r="AC13" s="7"/>
      <c r="AD13" s="7"/>
      <c r="AE13" s="7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16"/>
    </row>
    <row r="14">
      <c r="A14" s="4"/>
      <c r="B14" s="52" t="s">
        <v>9</v>
      </c>
      <c r="C14" s="53" t="s">
        <v>10</v>
      </c>
      <c r="D14" s="53" t="s">
        <v>11</v>
      </c>
      <c r="E14" s="53" t="s">
        <v>12</v>
      </c>
      <c r="F14" s="54"/>
      <c r="G14" s="53" t="s">
        <v>13</v>
      </c>
      <c r="H14" s="18"/>
      <c r="I14" s="125"/>
      <c r="J14" s="125"/>
      <c r="K14" s="56">
        <v>45975.0</v>
      </c>
      <c r="L14" s="126">
        <v>300.0</v>
      </c>
      <c r="M14" s="119"/>
      <c r="N14" s="125"/>
      <c r="O14" s="52" t="s">
        <v>9</v>
      </c>
      <c r="P14" s="53" t="s">
        <v>10</v>
      </c>
      <c r="Q14" s="53" t="s">
        <v>11</v>
      </c>
      <c r="R14" s="53" t="s">
        <v>12</v>
      </c>
      <c r="S14" s="54"/>
      <c r="T14" s="53" t="s">
        <v>13</v>
      </c>
      <c r="U14" s="18"/>
      <c r="V14" s="125"/>
      <c r="W14" s="125"/>
      <c r="X14" s="56">
        <v>45975.0</v>
      </c>
      <c r="Y14" s="126">
        <v>300.0</v>
      </c>
      <c r="Z14" s="119" t="s">
        <v>31</v>
      </c>
      <c r="AA14" s="7"/>
      <c r="AB14" s="7"/>
      <c r="AC14" s="7"/>
      <c r="AD14" s="7"/>
      <c r="AE14" s="7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17"/>
      <c r="AS14" s="17"/>
      <c r="AT14" s="17"/>
      <c r="AU14" s="17"/>
      <c r="AV14" s="17"/>
      <c r="AW14" s="17"/>
      <c r="AX14" s="17"/>
      <c r="AY14" s="17"/>
      <c r="AZ14" s="55"/>
    </row>
    <row r="15">
      <c r="A15" s="4"/>
      <c r="B15" s="56">
        <v>46205.0</v>
      </c>
      <c r="C15" s="58">
        <v>0.4166666666666667</v>
      </c>
      <c r="D15" s="58">
        <v>0.5</v>
      </c>
      <c r="E15" s="59">
        <f t="shared" ref="E15:E23" si="1">(D15-C15)*24</f>
        <v>2</v>
      </c>
      <c r="F15" s="60">
        <f t="shared" ref="F15:F23" si="2">E15/$F$8</f>
        <v>0.2</v>
      </c>
      <c r="G15" s="59">
        <f t="shared" ref="G15:G23" si="3">F15*$D$8</f>
        <v>84</v>
      </c>
      <c r="H15" s="32"/>
      <c r="I15" s="127"/>
      <c r="J15" s="128"/>
      <c r="K15" s="56">
        <v>45983.0</v>
      </c>
      <c r="L15" s="129">
        <v>1000.0</v>
      </c>
      <c r="M15" s="130"/>
      <c r="N15" s="131"/>
      <c r="O15" s="56">
        <v>46011.0</v>
      </c>
      <c r="P15" s="58">
        <v>0.6263888888888889</v>
      </c>
      <c r="Q15" s="58">
        <v>0.74375</v>
      </c>
      <c r="R15" s="59">
        <f t="shared" ref="R15:R20" si="4">(Q15-P15)*24</f>
        <v>2.816666667</v>
      </c>
      <c r="S15" s="60">
        <f t="shared" ref="S15:S20" si="5">R15/$F$8</f>
        <v>0.2816666667</v>
      </c>
      <c r="T15" s="59">
        <f t="shared" ref="T15:T20" si="6">S15*$D$8</f>
        <v>118.3</v>
      </c>
      <c r="U15" s="32"/>
      <c r="V15" s="127"/>
      <c r="W15" s="128"/>
      <c r="X15" s="56"/>
      <c r="Y15" s="129">
        <v>1000.0</v>
      </c>
      <c r="Z15" s="130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7"/>
      <c r="AR15" s="32"/>
      <c r="AS15" s="33"/>
      <c r="AT15" s="33"/>
      <c r="AU15" s="32"/>
      <c r="AV15" s="63"/>
      <c r="AW15" s="32"/>
      <c r="AX15" s="33"/>
      <c r="AY15" s="32"/>
      <c r="AZ15" s="64"/>
    </row>
    <row r="16">
      <c r="A16" s="4"/>
      <c r="B16" s="56">
        <v>46206.0</v>
      </c>
      <c r="C16" s="58">
        <v>0.9583333333333334</v>
      </c>
      <c r="D16" s="58">
        <v>0.9993055555555556</v>
      </c>
      <c r="E16" s="59">
        <f t="shared" si="1"/>
        <v>0.9833333333</v>
      </c>
      <c r="F16" s="60">
        <f t="shared" si="2"/>
        <v>0.09833333333</v>
      </c>
      <c r="G16" s="59">
        <f t="shared" si="3"/>
        <v>41.3</v>
      </c>
      <c r="H16" s="32"/>
      <c r="I16" s="127"/>
      <c r="J16" s="128"/>
      <c r="K16" s="56">
        <v>45987.0</v>
      </c>
      <c r="L16" s="129">
        <v>1000.0</v>
      </c>
      <c r="M16" s="130"/>
      <c r="N16" s="131"/>
      <c r="O16" s="56">
        <v>46018.0</v>
      </c>
      <c r="P16" s="58">
        <v>0.5604166666666667</v>
      </c>
      <c r="Q16" s="58">
        <v>0.6041666666666666</v>
      </c>
      <c r="R16" s="59">
        <f t="shared" si="4"/>
        <v>1.05</v>
      </c>
      <c r="S16" s="60">
        <f t="shared" si="5"/>
        <v>0.105</v>
      </c>
      <c r="T16" s="59">
        <f t="shared" si="6"/>
        <v>44.1</v>
      </c>
      <c r="U16" s="32"/>
      <c r="V16" s="127"/>
      <c r="W16" s="128"/>
      <c r="X16" s="56"/>
      <c r="Y16" s="129">
        <v>1000.0</v>
      </c>
      <c r="Z16" s="130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7"/>
      <c r="AR16" s="32"/>
      <c r="AS16" s="33"/>
      <c r="AT16" s="33"/>
      <c r="AU16" s="32"/>
      <c r="AV16" s="63"/>
      <c r="AW16" s="32"/>
      <c r="AX16" s="33"/>
      <c r="AY16" s="32"/>
      <c r="AZ16" s="64"/>
    </row>
    <row r="17">
      <c r="A17" s="83"/>
      <c r="B17" s="56">
        <v>46207.0</v>
      </c>
      <c r="C17" s="58">
        <v>0.0</v>
      </c>
      <c r="D17" s="58">
        <v>0.125</v>
      </c>
      <c r="E17" s="59">
        <f t="shared" si="1"/>
        <v>3</v>
      </c>
      <c r="F17" s="60">
        <f t="shared" si="2"/>
        <v>0.3</v>
      </c>
      <c r="G17" s="59">
        <f t="shared" si="3"/>
        <v>126</v>
      </c>
      <c r="H17" s="32"/>
      <c r="I17" s="132"/>
      <c r="J17" s="128"/>
      <c r="K17" s="56">
        <v>45980.0</v>
      </c>
      <c r="L17" s="129">
        <v>101.0</v>
      </c>
      <c r="M17" s="133" t="s">
        <v>32</v>
      </c>
      <c r="N17" s="131"/>
      <c r="O17" s="56">
        <v>46034.0</v>
      </c>
      <c r="P17" s="58">
        <v>0.56875</v>
      </c>
      <c r="Q17" s="58">
        <v>0.6791666666666667</v>
      </c>
      <c r="R17" s="59">
        <f t="shared" si="4"/>
        <v>2.65</v>
      </c>
      <c r="S17" s="60">
        <f t="shared" si="5"/>
        <v>0.265</v>
      </c>
      <c r="T17" s="59">
        <f t="shared" si="6"/>
        <v>111.3</v>
      </c>
      <c r="U17" s="32"/>
      <c r="V17" s="132"/>
      <c r="W17" s="128"/>
      <c r="X17" s="56"/>
      <c r="Y17" s="129">
        <v>110.0</v>
      </c>
      <c r="Z17" s="133" t="s">
        <v>32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7"/>
      <c r="AR17" s="32"/>
      <c r="AS17" s="33"/>
      <c r="AT17" s="33"/>
      <c r="AU17" s="32"/>
      <c r="AV17" s="63"/>
      <c r="AW17" s="32"/>
      <c r="AX17" s="4"/>
      <c r="AY17" s="32"/>
      <c r="AZ17" s="64"/>
    </row>
    <row r="18">
      <c r="A18" s="4"/>
      <c r="B18" s="56">
        <v>46207.0</v>
      </c>
      <c r="C18" s="58">
        <v>0.6041666666666666</v>
      </c>
      <c r="D18" s="58">
        <v>0.7631944444444444</v>
      </c>
      <c r="E18" s="59">
        <f t="shared" si="1"/>
        <v>3.816666667</v>
      </c>
      <c r="F18" s="60">
        <f t="shared" si="2"/>
        <v>0.3816666667</v>
      </c>
      <c r="G18" s="59">
        <f t="shared" si="3"/>
        <v>160.3</v>
      </c>
      <c r="H18" s="32"/>
      <c r="I18" s="134"/>
      <c r="J18" s="128"/>
      <c r="K18" s="56">
        <v>45981.0</v>
      </c>
      <c r="L18" s="129">
        <v>300.0</v>
      </c>
      <c r="M18" s="135"/>
      <c r="N18" s="131"/>
      <c r="O18" s="56">
        <v>46041.0</v>
      </c>
      <c r="P18" s="58">
        <v>0.6319444444444444</v>
      </c>
      <c r="Q18" s="58">
        <v>0.6805555555555556</v>
      </c>
      <c r="R18" s="59">
        <f t="shared" si="4"/>
        <v>1.166666667</v>
      </c>
      <c r="S18" s="60">
        <f t="shared" si="5"/>
        <v>0.1166666667</v>
      </c>
      <c r="T18" s="59">
        <f t="shared" si="6"/>
        <v>49</v>
      </c>
      <c r="U18" s="32"/>
      <c r="V18" s="134"/>
      <c r="W18" s="128"/>
      <c r="X18" s="56"/>
      <c r="Y18" s="129">
        <v>60.0</v>
      </c>
      <c r="Z18" s="135">
        <v>45980.0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7"/>
      <c r="AR18" s="4"/>
      <c r="AS18" s="4"/>
      <c r="AT18" s="4"/>
      <c r="AU18" s="4"/>
      <c r="AV18" s="7"/>
      <c r="AW18" s="4"/>
      <c r="AX18" s="4"/>
      <c r="AY18" s="4"/>
      <c r="AZ18" s="67"/>
    </row>
    <row r="19">
      <c r="A19" s="4"/>
      <c r="B19" s="56">
        <v>46208.0</v>
      </c>
      <c r="C19" s="58">
        <v>0.22569444444444445</v>
      </c>
      <c r="D19" s="58">
        <v>0.6041666666666666</v>
      </c>
      <c r="E19" s="59">
        <f t="shared" si="1"/>
        <v>9.083333333</v>
      </c>
      <c r="F19" s="60">
        <f t="shared" si="2"/>
        <v>0.9083333333</v>
      </c>
      <c r="G19" s="59">
        <f t="shared" si="3"/>
        <v>381.5</v>
      </c>
      <c r="H19" s="32"/>
      <c r="I19" s="127"/>
      <c r="J19" s="128"/>
      <c r="K19" s="56">
        <v>45993.0</v>
      </c>
      <c r="L19" s="129">
        <v>101.0</v>
      </c>
      <c r="M19" s="130"/>
      <c r="N19" s="131"/>
      <c r="O19" s="56">
        <v>46042.0</v>
      </c>
      <c r="P19" s="58">
        <v>0.5451388888888888</v>
      </c>
      <c r="Q19" s="58">
        <v>0.7395833333333334</v>
      </c>
      <c r="R19" s="59">
        <f t="shared" si="4"/>
        <v>4.666666667</v>
      </c>
      <c r="S19" s="60">
        <f t="shared" si="5"/>
        <v>0.4666666667</v>
      </c>
      <c r="T19" s="59">
        <f t="shared" si="6"/>
        <v>196</v>
      </c>
      <c r="U19" s="32"/>
      <c r="V19" s="127"/>
      <c r="W19" s="128"/>
      <c r="X19" s="56"/>
      <c r="Y19" s="136"/>
      <c r="Z19" s="130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7"/>
      <c r="AR19" s="7"/>
      <c r="AS19" s="7"/>
      <c r="AT19" s="7"/>
      <c r="AU19" s="7"/>
      <c r="AV19" s="7"/>
      <c r="AW19" s="7"/>
      <c r="AX19" s="69"/>
      <c r="AY19" s="70"/>
      <c r="AZ19" s="47"/>
    </row>
    <row r="20">
      <c r="A20" s="4"/>
      <c r="B20" s="56">
        <v>46210.0</v>
      </c>
      <c r="C20" s="58">
        <v>0.3972222222222222</v>
      </c>
      <c r="D20" s="58">
        <v>0.4791666666666667</v>
      </c>
      <c r="E20" s="59">
        <f t="shared" si="1"/>
        <v>1.966666667</v>
      </c>
      <c r="F20" s="60">
        <f t="shared" si="2"/>
        <v>0.1966666667</v>
      </c>
      <c r="G20" s="59">
        <f t="shared" si="3"/>
        <v>82.6</v>
      </c>
      <c r="H20" s="137"/>
      <c r="I20" s="127"/>
      <c r="J20" s="128"/>
      <c r="K20" s="56">
        <v>45993.0</v>
      </c>
      <c r="L20" s="129">
        <v>500.0</v>
      </c>
      <c r="M20" s="130"/>
      <c r="N20" s="131"/>
      <c r="O20" s="56">
        <v>46043.0</v>
      </c>
      <c r="P20" s="58">
        <v>0.25069444444444444</v>
      </c>
      <c r="Q20" s="58">
        <v>0.6666666666666666</v>
      </c>
      <c r="R20" s="59">
        <f t="shared" si="4"/>
        <v>9.983333333</v>
      </c>
      <c r="S20" s="60">
        <f t="shared" si="5"/>
        <v>0.9983333333</v>
      </c>
      <c r="T20" s="59">
        <f t="shared" si="6"/>
        <v>419.3</v>
      </c>
      <c r="U20" s="137"/>
      <c r="V20" s="127"/>
      <c r="W20" s="128"/>
      <c r="X20" s="56"/>
      <c r="Y20" s="136"/>
      <c r="Z20" s="130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7"/>
      <c r="AR20" s="7"/>
      <c r="AS20" s="7"/>
      <c r="AT20" s="7"/>
      <c r="AU20" s="7"/>
      <c r="AV20" s="7"/>
      <c r="AW20" s="7"/>
      <c r="AX20" s="69"/>
      <c r="AY20" s="4"/>
      <c r="AZ20" s="71"/>
    </row>
    <row r="21">
      <c r="A21" s="83"/>
      <c r="B21" s="56">
        <v>46211.0</v>
      </c>
      <c r="C21" s="58">
        <v>0.27152777777777776</v>
      </c>
      <c r="D21" s="58">
        <v>0.6611111111111111</v>
      </c>
      <c r="E21" s="59">
        <f t="shared" si="1"/>
        <v>9.35</v>
      </c>
      <c r="F21" s="60">
        <f t="shared" si="2"/>
        <v>0.935</v>
      </c>
      <c r="G21" s="59">
        <f t="shared" si="3"/>
        <v>392.7</v>
      </c>
      <c r="H21" s="137"/>
      <c r="I21" s="127"/>
      <c r="J21" s="128"/>
      <c r="K21" s="138"/>
      <c r="L21" s="139"/>
      <c r="M21" s="133"/>
      <c r="N21" s="131"/>
      <c r="O21" s="56"/>
      <c r="P21" s="58"/>
      <c r="Q21" s="58"/>
      <c r="R21" s="59"/>
      <c r="S21" s="60"/>
      <c r="T21" s="59"/>
      <c r="U21" s="137"/>
      <c r="V21" s="127"/>
      <c r="W21" s="128"/>
      <c r="X21" s="128"/>
      <c r="Y21" s="131"/>
      <c r="Z21" s="130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7"/>
      <c r="AR21" s="7"/>
      <c r="AS21" s="7"/>
      <c r="AT21" s="7"/>
      <c r="AU21" s="7"/>
      <c r="AV21" s="7"/>
      <c r="AW21" s="7"/>
      <c r="AX21" s="69"/>
      <c r="AY21" s="4"/>
      <c r="AZ21" s="72"/>
    </row>
    <row r="22">
      <c r="A22" s="83"/>
      <c r="B22" s="56">
        <v>46215.0</v>
      </c>
      <c r="C22" s="58">
        <v>0.25625</v>
      </c>
      <c r="D22" s="58">
        <v>0.5680555555555555</v>
      </c>
      <c r="E22" s="59">
        <f t="shared" si="1"/>
        <v>7.483333333</v>
      </c>
      <c r="F22" s="60">
        <f t="shared" si="2"/>
        <v>0.7483333333</v>
      </c>
      <c r="G22" s="59">
        <f t="shared" si="3"/>
        <v>314.3</v>
      </c>
      <c r="H22" s="137"/>
      <c r="I22" s="127"/>
      <c r="J22" s="128"/>
      <c r="K22" s="138"/>
      <c r="L22" s="139"/>
      <c r="M22" s="133"/>
      <c r="N22" s="131"/>
      <c r="O22" s="56"/>
      <c r="P22" s="58"/>
      <c r="Q22" s="58"/>
      <c r="R22" s="59"/>
      <c r="S22" s="60"/>
      <c r="T22" s="59"/>
      <c r="U22" s="137"/>
      <c r="V22" s="127"/>
      <c r="W22" s="128"/>
      <c r="X22" s="128"/>
      <c r="Y22" s="131"/>
      <c r="Z22" s="130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7"/>
      <c r="AR22" s="7"/>
      <c r="AS22" s="7"/>
      <c r="AT22" s="7"/>
      <c r="AU22" s="7"/>
      <c r="AV22" s="7"/>
      <c r="AW22" s="7"/>
      <c r="AX22" s="69"/>
      <c r="AY22" s="4"/>
      <c r="AZ22" s="72"/>
    </row>
    <row r="23">
      <c r="A23" s="83"/>
      <c r="B23" s="56">
        <v>46220.0</v>
      </c>
      <c r="C23" s="58">
        <v>0.8263888888888888</v>
      </c>
      <c r="D23" s="58">
        <v>0.9583333333333334</v>
      </c>
      <c r="E23" s="59">
        <f t="shared" si="1"/>
        <v>3.166666667</v>
      </c>
      <c r="F23" s="60">
        <f t="shared" si="2"/>
        <v>0.3166666667</v>
      </c>
      <c r="G23" s="59">
        <f t="shared" si="3"/>
        <v>133</v>
      </c>
      <c r="H23" s="137"/>
      <c r="I23" s="127"/>
      <c r="J23" s="128"/>
      <c r="K23" s="138"/>
      <c r="L23" s="139"/>
      <c r="M23" s="133"/>
      <c r="N23" s="131"/>
      <c r="O23" s="56"/>
      <c r="P23" s="58"/>
      <c r="Q23" s="58"/>
      <c r="R23" s="59"/>
      <c r="S23" s="60"/>
      <c r="T23" s="59"/>
      <c r="U23" s="137"/>
      <c r="V23" s="127"/>
      <c r="W23" s="128"/>
      <c r="X23" s="128"/>
      <c r="Y23" s="131"/>
      <c r="Z23" s="130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7"/>
      <c r="AR23" s="7"/>
      <c r="AS23" s="7"/>
      <c r="AT23" s="7"/>
      <c r="AU23" s="7"/>
      <c r="AV23" s="7"/>
      <c r="AW23" s="7"/>
      <c r="AX23" s="69"/>
      <c r="AY23" s="4"/>
      <c r="AZ23" s="72"/>
    </row>
    <row r="24">
      <c r="A24" s="83" t="s">
        <v>33</v>
      </c>
      <c r="B24" s="56"/>
      <c r="C24" s="58"/>
      <c r="D24" s="58"/>
      <c r="E24" s="59"/>
      <c r="F24" s="60"/>
      <c r="G24" s="59"/>
      <c r="H24" s="137"/>
      <c r="I24" s="127"/>
      <c r="J24" s="128"/>
      <c r="K24" s="138">
        <v>45999.0</v>
      </c>
      <c r="L24" s="139">
        <v>1500.0</v>
      </c>
      <c r="M24" s="133" t="s">
        <v>34</v>
      </c>
      <c r="N24" s="131"/>
      <c r="O24" s="56">
        <v>46048.0</v>
      </c>
      <c r="P24" s="58">
        <v>0.27361111111111114</v>
      </c>
      <c r="Q24" s="58">
        <v>0.6993055555555555</v>
      </c>
      <c r="R24" s="59">
        <f>(Q24-P24)*24</f>
        <v>10.21666667</v>
      </c>
      <c r="S24" s="60">
        <f>R24/$F$8</f>
        <v>1.021666667</v>
      </c>
      <c r="T24" s="59">
        <f>S24*$D$8</f>
        <v>429.1</v>
      </c>
      <c r="U24" s="137"/>
      <c r="V24" s="127"/>
      <c r="W24" s="128"/>
      <c r="X24" s="128"/>
      <c r="Y24" s="131"/>
      <c r="Z24" s="130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7"/>
      <c r="AR24" s="7"/>
      <c r="AS24" s="7"/>
      <c r="AT24" s="7"/>
      <c r="AU24" s="7"/>
      <c r="AV24" s="7"/>
      <c r="AW24" s="7"/>
      <c r="AX24" s="69"/>
      <c r="AY24" s="4"/>
      <c r="AZ24" s="72"/>
    </row>
    <row r="25">
      <c r="A25" s="4"/>
      <c r="B25" s="56"/>
      <c r="C25" s="58"/>
      <c r="D25" s="58"/>
      <c r="E25" s="59"/>
      <c r="F25" s="60"/>
      <c r="G25" s="59"/>
      <c r="H25" s="32"/>
      <c r="I25" s="127"/>
      <c r="J25" s="128"/>
      <c r="K25" s="138">
        <v>45997.0</v>
      </c>
      <c r="L25" s="139">
        <v>250.0</v>
      </c>
      <c r="M25" s="130"/>
      <c r="N25" s="131"/>
      <c r="O25" s="56"/>
      <c r="P25" s="58"/>
      <c r="Q25" s="58"/>
      <c r="R25" s="59"/>
      <c r="S25" s="60"/>
      <c r="T25" s="59"/>
      <c r="U25" s="32"/>
      <c r="V25" s="127"/>
      <c r="W25" s="128"/>
      <c r="X25" s="128"/>
      <c r="Y25" s="131"/>
      <c r="Z25" s="130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7"/>
      <c r="AR25" s="7"/>
      <c r="AS25" s="7"/>
      <c r="AT25" s="7"/>
      <c r="AU25" s="7"/>
      <c r="AV25" s="7"/>
      <c r="AW25" s="7"/>
      <c r="AX25" s="7"/>
      <c r="AY25" s="7"/>
      <c r="AZ25" s="7"/>
    </row>
    <row r="26">
      <c r="A26" s="4"/>
      <c r="B26" s="56"/>
      <c r="C26" s="58"/>
      <c r="D26" s="58"/>
      <c r="E26" s="59"/>
      <c r="F26" s="60"/>
      <c r="G26" s="59"/>
      <c r="H26" s="32"/>
      <c r="I26" s="140"/>
      <c r="J26" s="141"/>
      <c r="K26" s="135">
        <v>46035.0</v>
      </c>
      <c r="L26" s="142">
        <v>1000.0</v>
      </c>
      <c r="M26" s="143"/>
      <c r="N26" s="144"/>
      <c r="O26" s="56"/>
      <c r="P26" s="58"/>
      <c r="Q26" s="58"/>
      <c r="R26" s="59"/>
      <c r="S26" s="60"/>
      <c r="T26" s="59"/>
      <c r="U26" s="32"/>
      <c r="V26" s="140"/>
      <c r="W26" s="141"/>
      <c r="X26" s="143"/>
      <c r="Y26" s="144"/>
      <c r="Z26" s="143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>
      <c r="A27" s="4"/>
      <c r="B27" s="56"/>
      <c r="C27" s="145"/>
      <c r="D27" s="58"/>
      <c r="E27" s="59"/>
      <c r="F27" s="60"/>
      <c r="G27" s="59"/>
      <c r="H27" s="4"/>
      <c r="I27" s="146"/>
      <c r="J27" s="147"/>
      <c r="K27" s="148">
        <v>46042.0</v>
      </c>
      <c r="L27" s="149">
        <v>2000.0</v>
      </c>
      <c r="M27" s="149"/>
      <c r="N27" s="120"/>
      <c r="O27" s="56"/>
      <c r="P27" s="145"/>
      <c r="Q27" s="58"/>
      <c r="R27" s="59"/>
      <c r="S27" s="60"/>
      <c r="T27" s="59"/>
      <c r="U27" s="4"/>
      <c r="V27" s="146"/>
      <c r="W27" s="147"/>
      <c r="X27" s="120"/>
      <c r="Y27" s="149">
        <v>1500.0</v>
      </c>
      <c r="Z27" s="149" t="s">
        <v>35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>
      <c r="A28" s="4"/>
      <c r="B28" s="56"/>
      <c r="C28" s="145"/>
      <c r="D28" s="58"/>
      <c r="E28" s="59"/>
      <c r="F28" s="60"/>
      <c r="G28" s="59"/>
      <c r="H28" s="4"/>
      <c r="I28" s="146"/>
      <c r="J28" s="147"/>
      <c r="K28" s="120"/>
      <c r="L28" s="120"/>
      <c r="M28" s="120"/>
      <c r="N28" s="120"/>
      <c r="O28" s="56"/>
      <c r="P28" s="145"/>
      <c r="Q28" s="58"/>
      <c r="R28" s="59"/>
      <c r="S28" s="60"/>
      <c r="T28" s="59"/>
      <c r="U28" s="4"/>
      <c r="V28" s="146"/>
      <c r="W28" s="147"/>
      <c r="X28" s="120"/>
      <c r="Y28" s="120"/>
      <c r="Z28" s="120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>
      <c r="A29" s="4"/>
      <c r="B29" s="56"/>
      <c r="C29" s="145"/>
      <c r="D29" s="58"/>
      <c r="E29" s="59"/>
      <c r="F29" s="60"/>
      <c r="G29" s="59"/>
      <c r="H29" s="4"/>
      <c r="I29" s="146"/>
      <c r="J29" s="147"/>
      <c r="K29" s="120"/>
      <c r="L29" s="120"/>
      <c r="M29" s="120"/>
      <c r="N29" s="120"/>
      <c r="O29" s="56"/>
      <c r="P29" s="145"/>
      <c r="Q29" s="58"/>
      <c r="R29" s="59"/>
      <c r="S29" s="60"/>
      <c r="T29" s="59"/>
      <c r="U29" s="4"/>
      <c r="V29" s="146"/>
      <c r="W29" s="147"/>
      <c r="X29" s="120"/>
      <c r="Y29" s="120"/>
      <c r="Z29" s="120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>
      <c r="A30" s="4"/>
      <c r="B30" s="56"/>
      <c r="C30" s="145"/>
      <c r="D30" s="58"/>
      <c r="E30" s="59"/>
      <c r="F30" s="60"/>
      <c r="G30" s="59"/>
      <c r="H30" s="4"/>
      <c r="I30" s="146"/>
      <c r="J30" s="147"/>
      <c r="K30" s="120"/>
      <c r="L30" s="120"/>
      <c r="M30" s="120"/>
      <c r="N30" s="120"/>
      <c r="O30" s="56"/>
      <c r="P30" s="145"/>
      <c r="Q30" s="58"/>
      <c r="R30" s="59"/>
      <c r="S30" s="60"/>
      <c r="T30" s="59"/>
      <c r="U30" s="4"/>
      <c r="V30" s="146"/>
      <c r="W30" s="147"/>
      <c r="X30" s="120"/>
      <c r="Y30" s="120"/>
      <c r="Z30" s="120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>
      <c r="A31" s="4"/>
      <c r="B31" s="56"/>
      <c r="C31" s="145"/>
      <c r="D31" s="58"/>
      <c r="E31" s="59"/>
      <c r="F31" s="60"/>
      <c r="G31" s="59"/>
      <c r="H31" s="4"/>
      <c r="I31" s="146"/>
      <c r="J31" s="147"/>
      <c r="K31" s="120"/>
      <c r="L31" s="120"/>
      <c r="M31" s="120"/>
      <c r="N31" s="120"/>
      <c r="O31" s="56"/>
      <c r="P31" s="145"/>
      <c r="Q31" s="58"/>
      <c r="R31" s="59"/>
      <c r="S31" s="60"/>
      <c r="T31" s="59"/>
      <c r="U31" s="4"/>
      <c r="V31" s="146"/>
      <c r="W31" s="147"/>
      <c r="X31" s="120"/>
      <c r="Y31" s="120"/>
      <c r="Z31" s="120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>
      <c r="A32" s="4"/>
      <c r="B32" s="56"/>
      <c r="C32" s="145"/>
      <c r="D32" s="58"/>
      <c r="E32" s="59"/>
      <c r="F32" s="60"/>
      <c r="G32" s="59"/>
      <c r="H32" s="4"/>
      <c r="I32" s="146"/>
      <c r="J32" s="147"/>
      <c r="K32" s="149" t="str">
        <f>M40</f>
        <v/>
      </c>
      <c r="L32" s="149">
        <v>1000.0</v>
      </c>
      <c r="M32" s="149" t="s">
        <v>36</v>
      </c>
      <c r="N32" s="120"/>
      <c r="O32" s="56"/>
      <c r="P32" s="145"/>
      <c r="Q32" s="58"/>
      <c r="R32" s="59"/>
      <c r="S32" s="60"/>
      <c r="T32" s="59"/>
      <c r="U32" s="4"/>
      <c r="V32" s="146"/>
      <c r="W32" s="147"/>
      <c r="X32" s="120"/>
      <c r="Y32" s="120"/>
      <c r="Z32" s="120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>
      <c r="A33" s="4"/>
      <c r="B33" s="56"/>
      <c r="C33" s="145"/>
      <c r="D33" s="58"/>
      <c r="E33" s="59"/>
      <c r="F33" s="60"/>
      <c r="G33" s="59"/>
      <c r="H33" s="4"/>
      <c r="I33" s="146"/>
      <c r="J33" s="147"/>
      <c r="K33" s="120"/>
      <c r="L33" s="120"/>
      <c r="M33" s="120"/>
      <c r="N33" s="120"/>
      <c r="O33" s="56"/>
      <c r="P33" s="145"/>
      <c r="Q33" s="58"/>
      <c r="R33" s="59"/>
      <c r="S33" s="60"/>
      <c r="T33" s="59"/>
      <c r="U33" s="4"/>
      <c r="V33" s="146"/>
      <c r="W33" s="147"/>
      <c r="X33" s="120"/>
      <c r="Y33" s="120"/>
      <c r="Z33" s="120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>
      <c r="A34" s="4"/>
      <c r="B34" s="56"/>
      <c r="C34" s="145"/>
      <c r="D34" s="58"/>
      <c r="E34" s="59"/>
      <c r="F34" s="60"/>
      <c r="G34" s="59"/>
      <c r="H34" s="4"/>
      <c r="I34" s="146"/>
      <c r="J34" s="147"/>
      <c r="K34" s="120"/>
      <c r="L34" s="120"/>
      <c r="M34" s="120"/>
      <c r="N34" s="120"/>
      <c r="O34" s="56"/>
      <c r="P34" s="145"/>
      <c r="Q34" s="58"/>
      <c r="R34" s="59"/>
      <c r="S34" s="60"/>
      <c r="T34" s="59"/>
      <c r="U34" s="4"/>
      <c r="V34" s="146"/>
      <c r="W34" s="147"/>
      <c r="X34" s="120"/>
      <c r="Y34" s="120"/>
      <c r="Z34" s="120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>
      <c r="A35" s="4"/>
      <c r="B35" s="56"/>
      <c r="C35" s="145"/>
      <c r="D35" s="58"/>
      <c r="E35" s="59"/>
      <c r="F35" s="60"/>
      <c r="G35" s="59"/>
      <c r="H35" s="4"/>
      <c r="I35" s="146"/>
      <c r="J35" s="147"/>
      <c r="K35" s="120"/>
      <c r="L35" s="120"/>
      <c r="M35" s="120"/>
      <c r="N35" s="120"/>
      <c r="O35" s="56"/>
      <c r="P35" s="145"/>
      <c r="Q35" s="58"/>
      <c r="R35" s="59"/>
      <c r="S35" s="60"/>
      <c r="T35" s="59"/>
      <c r="U35" s="4"/>
      <c r="V35" s="146"/>
      <c r="W35" s="147"/>
      <c r="X35" s="120"/>
      <c r="Y35" s="120"/>
      <c r="Z35" s="120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>
      <c r="A36" s="4"/>
      <c r="B36" s="56"/>
      <c r="C36" s="145"/>
      <c r="D36" s="58"/>
      <c r="E36" s="59"/>
      <c r="F36" s="60"/>
      <c r="G36" s="59"/>
      <c r="H36" s="4"/>
      <c r="I36" s="146"/>
      <c r="J36" s="147"/>
      <c r="K36" s="120"/>
      <c r="L36" s="120"/>
      <c r="M36" s="120"/>
      <c r="N36" s="120"/>
      <c r="O36" s="56"/>
      <c r="P36" s="145"/>
      <c r="Q36" s="58"/>
      <c r="R36" s="59"/>
      <c r="S36" s="60"/>
      <c r="T36" s="59"/>
      <c r="U36" s="4"/>
      <c r="V36" s="146"/>
      <c r="W36" s="147"/>
      <c r="X36" s="120"/>
      <c r="Y36" s="120"/>
      <c r="Z36" s="120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>
      <c r="A37" s="4"/>
      <c r="B37" s="56"/>
      <c r="C37" s="145"/>
      <c r="D37" s="58"/>
      <c r="E37" s="59"/>
      <c r="F37" s="60"/>
      <c r="G37" s="59"/>
      <c r="H37" s="4"/>
      <c r="I37" s="146"/>
      <c r="J37" s="147"/>
      <c r="K37" s="120"/>
      <c r="L37" s="120"/>
      <c r="M37" s="120"/>
      <c r="N37" s="120"/>
      <c r="O37" s="56"/>
      <c r="P37" s="145"/>
      <c r="Q37" s="58"/>
      <c r="R37" s="59"/>
      <c r="S37" s="60"/>
      <c r="T37" s="59"/>
      <c r="U37" s="4"/>
      <c r="V37" s="146"/>
      <c r="W37" s="147"/>
      <c r="X37" s="120"/>
      <c r="Y37" s="120"/>
      <c r="Z37" s="120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>
      <c r="A38" s="4"/>
      <c r="B38" s="56"/>
      <c r="C38" s="145"/>
      <c r="D38" s="58"/>
      <c r="E38" s="59"/>
      <c r="F38" s="60"/>
      <c r="G38" s="59"/>
      <c r="H38" s="4"/>
      <c r="I38" s="146"/>
      <c r="J38" s="147"/>
      <c r="K38" s="120"/>
      <c r="L38" s="120"/>
      <c r="M38" s="120"/>
      <c r="N38" s="120"/>
      <c r="O38" s="56"/>
      <c r="P38" s="145"/>
      <c r="Q38" s="58"/>
      <c r="R38" s="59"/>
      <c r="S38" s="60"/>
      <c r="T38" s="59"/>
      <c r="U38" s="4"/>
      <c r="V38" s="146"/>
      <c r="W38" s="147"/>
      <c r="X38" s="120"/>
      <c r="Y38" s="120"/>
      <c r="Z38" s="120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>
      <c r="A39" s="4"/>
      <c r="B39" s="56"/>
      <c r="C39" s="145"/>
      <c r="D39" s="58"/>
      <c r="E39" s="59"/>
      <c r="F39" s="60"/>
      <c r="G39" s="59"/>
      <c r="H39" s="4"/>
      <c r="I39" s="146"/>
      <c r="J39" s="147"/>
      <c r="K39" s="120"/>
      <c r="L39" s="120"/>
      <c r="M39" s="120"/>
      <c r="N39" s="120"/>
      <c r="O39" s="56"/>
      <c r="P39" s="145"/>
      <c r="Q39" s="58"/>
      <c r="R39" s="59"/>
      <c r="S39" s="60"/>
      <c r="T39" s="59"/>
      <c r="U39" s="4"/>
      <c r="V39" s="146"/>
      <c r="W39" s="147"/>
      <c r="X39" s="120"/>
      <c r="Y39" s="120"/>
      <c r="Z39" s="120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>
      <c r="A40" s="4"/>
      <c r="B40" s="56"/>
      <c r="C40" s="145"/>
      <c r="D40" s="58"/>
      <c r="E40" s="59"/>
      <c r="F40" s="60"/>
      <c r="G40" s="59"/>
      <c r="H40" s="4"/>
      <c r="I40" s="146"/>
      <c r="J40" s="147"/>
      <c r="K40" s="120"/>
      <c r="L40" s="120"/>
      <c r="M40" s="120"/>
      <c r="N40" s="120"/>
      <c r="O40" s="56"/>
      <c r="P40" s="145"/>
      <c r="Q40" s="58"/>
      <c r="R40" s="59"/>
      <c r="S40" s="60"/>
      <c r="T40" s="59"/>
      <c r="U40" s="4"/>
      <c r="V40" s="146"/>
      <c r="W40" s="147"/>
      <c r="X40" s="120"/>
      <c r="Y40" s="120"/>
      <c r="Z40" s="120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>
      <c r="A41" s="4"/>
      <c r="B41" s="56"/>
      <c r="C41" s="145"/>
      <c r="D41" s="58"/>
      <c r="E41" s="59"/>
      <c r="F41" s="60"/>
      <c r="G41" s="59"/>
      <c r="H41" s="4"/>
      <c r="I41" s="146"/>
      <c r="J41" s="147"/>
      <c r="K41" s="120"/>
      <c r="L41" s="120"/>
      <c r="M41" s="120"/>
      <c r="N41" s="120"/>
      <c r="O41" s="56"/>
      <c r="P41" s="145"/>
      <c r="Q41" s="58"/>
      <c r="R41" s="59"/>
      <c r="S41" s="60"/>
      <c r="T41" s="59"/>
      <c r="U41" s="4"/>
      <c r="V41" s="146"/>
      <c r="W41" s="147"/>
      <c r="X41" s="120"/>
      <c r="Y41" s="120"/>
      <c r="Z41" s="120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>
      <c r="A42" s="4"/>
      <c r="B42" s="4"/>
      <c r="C42" s="4"/>
      <c r="D42" s="4"/>
      <c r="E42" s="4"/>
      <c r="F42" s="4"/>
      <c r="G42" s="4"/>
      <c r="H42" s="4"/>
      <c r="I42" s="120"/>
      <c r="J42" s="120"/>
      <c r="K42" s="120"/>
      <c r="L42" s="120"/>
      <c r="M42" s="120"/>
      <c r="N42" s="120"/>
      <c r="O42" s="4"/>
      <c r="P42" s="4"/>
      <c r="Q42" s="4"/>
      <c r="R42" s="4"/>
      <c r="S42" s="4"/>
      <c r="T42" s="4"/>
      <c r="U42" s="4"/>
      <c r="V42" s="120"/>
      <c r="W42" s="120"/>
      <c r="X42" s="120"/>
      <c r="Y42" s="120"/>
      <c r="Z42" s="120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>
      <c r="A43" s="4"/>
      <c r="B43" s="150" t="s">
        <v>15</v>
      </c>
      <c r="C43" s="79"/>
      <c r="D43" s="80"/>
      <c r="E43" s="81">
        <f>sum(E15:E41)</f>
        <v>40.85</v>
      </c>
      <c r="F43" s="42"/>
      <c r="G43" s="4"/>
      <c r="H43" s="4"/>
      <c r="I43" s="151"/>
      <c r="L43" s="152"/>
      <c r="M43" s="153"/>
      <c r="N43" s="120"/>
      <c r="O43" s="150" t="s">
        <v>15</v>
      </c>
      <c r="P43" s="79"/>
      <c r="Q43" s="80"/>
      <c r="R43" s="81">
        <f>sum(R15:R41)</f>
        <v>32.55</v>
      </c>
      <c r="S43" s="42"/>
      <c r="T43" s="4"/>
      <c r="U43" s="4"/>
      <c r="V43" s="151"/>
      <c r="Y43" s="152"/>
      <c r="Z43" s="153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>
      <c r="A44" s="4"/>
      <c r="B44" s="150" t="s">
        <v>16</v>
      </c>
      <c r="C44" s="79"/>
      <c r="D44" s="80"/>
      <c r="E44" s="82">
        <f>E43/F8</f>
        <v>4.085</v>
      </c>
      <c r="F44" s="4"/>
      <c r="G44" s="4"/>
      <c r="H44" s="4"/>
      <c r="I44" s="151"/>
      <c r="L44" s="154"/>
      <c r="M44" s="120"/>
      <c r="N44" s="120"/>
      <c r="O44" s="150" t="s">
        <v>16</v>
      </c>
      <c r="P44" s="79"/>
      <c r="Q44" s="80"/>
      <c r="R44" s="82">
        <f>R43/S8</f>
        <v>3.255</v>
      </c>
      <c r="S44" s="4"/>
      <c r="T44" s="4"/>
      <c r="U44" s="4"/>
      <c r="V44" s="151"/>
      <c r="Y44" s="154"/>
      <c r="Z44" s="120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>
      <c r="A45" s="48" t="s">
        <v>6</v>
      </c>
      <c r="B45" s="49" t="str">
        <f>C13</f>
        <v>July 2- 17, 2026</v>
      </c>
      <c r="C45" s="50"/>
      <c r="D45" s="50"/>
      <c r="E45" s="50"/>
      <c r="F45" s="51"/>
      <c r="G45" s="155" t="s">
        <v>37</v>
      </c>
      <c r="H45" s="156">
        <f>sum(H46:H47)</f>
        <v>2000</v>
      </c>
      <c r="I45" s="120"/>
      <c r="J45" s="120"/>
      <c r="K45" s="120"/>
      <c r="L45" s="149" t="s">
        <v>38</v>
      </c>
      <c r="M45" s="120"/>
      <c r="N45" s="120"/>
      <c r="O45" s="49" t="str">
        <f>P13</f>
        <v>Dec 20, 2025- Jan 26, 2026</v>
      </c>
      <c r="P45" s="50"/>
      <c r="Q45" s="50"/>
      <c r="R45" s="50"/>
      <c r="S45" s="51"/>
      <c r="T45" s="155" t="s">
        <v>37</v>
      </c>
      <c r="U45" s="156">
        <f>sum(U46:U47)</f>
        <v>2000</v>
      </c>
      <c r="V45" s="120"/>
      <c r="W45" s="120"/>
      <c r="X45" s="120"/>
      <c r="Y45" s="149" t="s">
        <v>38</v>
      </c>
      <c r="Z45" s="120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>
      <c r="A46" s="108" t="s">
        <v>39</v>
      </c>
      <c r="B46" s="150" t="s">
        <v>18</v>
      </c>
      <c r="C46" s="79"/>
      <c r="D46" s="80"/>
      <c r="E46" s="82">
        <f>E44*D8</f>
        <v>1715.7</v>
      </c>
      <c r="F46" s="83"/>
      <c r="G46" s="157">
        <v>45946.0</v>
      </c>
      <c r="H46" s="158">
        <v>1000.0</v>
      </c>
      <c r="I46" s="151"/>
      <c r="L46" s="154"/>
      <c r="M46" s="149"/>
      <c r="N46" s="120"/>
      <c r="O46" s="150" t="s">
        <v>18</v>
      </c>
      <c r="P46" s="79"/>
      <c r="Q46" s="80"/>
      <c r="R46" s="82">
        <f>R44*Q8</f>
        <v>1302</v>
      </c>
      <c r="S46" s="83"/>
      <c r="T46" s="157">
        <v>45946.0</v>
      </c>
      <c r="U46" s="158">
        <v>1000.0</v>
      </c>
      <c r="V46" s="151"/>
      <c r="Y46" s="154"/>
      <c r="Z46" s="149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22.5" customHeight="1">
      <c r="A47" s="159"/>
      <c r="B47" s="84" t="s">
        <v>40</v>
      </c>
      <c r="C47" s="79"/>
      <c r="D47" s="80"/>
      <c r="E47" s="85">
        <v>200.0</v>
      </c>
      <c r="F47" s="86"/>
      <c r="G47" s="160">
        <v>45931.0</v>
      </c>
      <c r="H47" s="161">
        <v>1000.0</v>
      </c>
      <c r="I47" s="151"/>
      <c r="L47" s="162"/>
      <c r="M47" s="92"/>
      <c r="N47" s="120"/>
      <c r="O47" s="87" t="s">
        <v>41</v>
      </c>
      <c r="P47" s="79"/>
      <c r="Q47" s="80"/>
      <c r="R47" s="85">
        <v>-3250.0</v>
      </c>
      <c r="S47" s="86"/>
      <c r="T47" s="160">
        <v>45931.0</v>
      </c>
      <c r="U47" s="161">
        <v>1000.0</v>
      </c>
      <c r="V47" s="151"/>
      <c r="Y47" s="162"/>
      <c r="Z47" s="92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>
      <c r="A48" s="4"/>
      <c r="B48" s="163"/>
      <c r="C48" s="79"/>
      <c r="D48" s="80"/>
      <c r="E48" s="85">
        <v>100.0</v>
      </c>
      <c r="F48" s="164"/>
      <c r="G48" s="165">
        <v>45938.0</v>
      </c>
      <c r="H48" s="166">
        <v>100.0</v>
      </c>
      <c r="I48" s="149" t="s">
        <v>42</v>
      </c>
      <c r="J48" s="167"/>
      <c r="K48" s="167"/>
      <c r="L48" s="167"/>
      <c r="M48" s="167"/>
      <c r="N48" s="120"/>
      <c r="O48" s="163"/>
      <c r="P48" s="79"/>
      <c r="Q48" s="80"/>
      <c r="R48" s="85"/>
      <c r="S48" s="164" t="s">
        <v>43</v>
      </c>
      <c r="T48" s="165">
        <v>45938.0</v>
      </c>
      <c r="U48" s="166">
        <v>100.0</v>
      </c>
      <c r="V48" s="149" t="s">
        <v>42</v>
      </c>
      <c r="W48" s="167"/>
      <c r="X48" s="167"/>
      <c r="Y48" s="167"/>
      <c r="Z48" s="167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>
      <c r="A49" s="4"/>
      <c r="B49" s="163" t="s">
        <v>44</v>
      </c>
      <c r="C49" s="79"/>
      <c r="D49" s="80"/>
      <c r="E49" s="85"/>
      <c r="F49" s="168"/>
      <c r="G49" s="169">
        <v>45945.0</v>
      </c>
      <c r="H49" s="161">
        <v>70.0</v>
      </c>
      <c r="I49" s="4"/>
      <c r="J49" s="7"/>
      <c r="K49" s="7"/>
      <c r="L49" s="7"/>
      <c r="M49" s="7"/>
      <c r="N49" s="4"/>
      <c r="O49" s="4"/>
      <c r="P49" s="7"/>
      <c r="Q49" s="7"/>
      <c r="R49" s="7"/>
      <c r="S49" s="168"/>
      <c r="T49" s="169">
        <v>45945.0</v>
      </c>
      <c r="U49" s="161">
        <v>70.0</v>
      </c>
      <c r="V49" s="4"/>
      <c r="W49" s="7"/>
      <c r="X49" s="7"/>
      <c r="Y49" s="7"/>
      <c r="Z49" s="7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26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7"/>
      <c r="O50" s="62"/>
      <c r="P50" s="32"/>
      <c r="Q50" s="34"/>
      <c r="R50" s="32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26.25" customHeight="1">
      <c r="A51" s="4"/>
      <c r="B51" s="88" t="s">
        <v>45</v>
      </c>
      <c r="C51" s="79"/>
      <c r="D51" s="80"/>
      <c r="E51" s="82">
        <f>E46+E47+E48+E49</f>
        <v>2015.7</v>
      </c>
      <c r="F51" s="170" t="s">
        <v>46</v>
      </c>
      <c r="G51" s="171"/>
      <c r="H51" s="172"/>
      <c r="I51" s="173"/>
      <c r="L51" s="174"/>
      <c r="M51" s="31"/>
      <c r="N51" s="4"/>
      <c r="O51" s="88" t="s">
        <v>21</v>
      </c>
      <c r="P51" s="79"/>
      <c r="Q51" s="80"/>
      <c r="R51" s="82">
        <f>R46+R47+R48</f>
        <v>-1948</v>
      </c>
      <c r="S51" s="170" t="s">
        <v>46</v>
      </c>
      <c r="T51" s="171"/>
      <c r="U51" s="172"/>
      <c r="V51" s="173"/>
      <c r="Y51" s="174"/>
      <c r="Z51" s="31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7"/>
      <c r="AX51" s="7"/>
      <c r="AY51" s="7"/>
      <c r="AZ51" s="7"/>
    </row>
    <row r="52">
      <c r="A52" s="4"/>
      <c r="B52" s="87"/>
      <c r="C52" s="79"/>
      <c r="D52" s="80"/>
      <c r="E52" s="85"/>
      <c r="F52" s="4"/>
      <c r="G52" s="175">
        <v>45910.0</v>
      </c>
      <c r="H52" s="166">
        <v>56.0</v>
      </c>
      <c r="I52" s="4"/>
      <c r="J52" s="7"/>
      <c r="K52" s="7"/>
      <c r="L52" s="7"/>
      <c r="M52" s="4"/>
      <c r="N52" s="4"/>
      <c r="O52" s="4"/>
      <c r="P52" s="7"/>
      <c r="Q52" s="7"/>
      <c r="R52" s="7"/>
      <c r="S52" s="4"/>
      <c r="T52" s="175">
        <v>45910.0</v>
      </c>
      <c r="U52" s="166">
        <v>56.0</v>
      </c>
      <c r="V52" s="4"/>
      <c r="W52" s="7"/>
      <c r="X52" s="7"/>
      <c r="Y52" s="7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7"/>
      <c r="AX52" s="7"/>
      <c r="AY52" s="7"/>
      <c r="AZ52" s="7"/>
    </row>
    <row r="53">
      <c r="A53" s="4"/>
      <c r="B53" s="176" t="s">
        <v>47</v>
      </c>
      <c r="C53" s="41"/>
      <c r="D53" s="42"/>
      <c r="E53" s="41"/>
      <c r="F53" s="42"/>
      <c r="G53" s="157">
        <v>45913.0</v>
      </c>
      <c r="H53" s="158">
        <v>228.0</v>
      </c>
      <c r="I53" s="40"/>
      <c r="J53" s="41"/>
      <c r="K53" s="42"/>
      <c r="L53" s="41"/>
      <c r="M53" s="42"/>
      <c r="N53" s="4"/>
      <c r="O53" s="40"/>
      <c r="P53" s="41"/>
      <c r="Q53" s="42"/>
      <c r="R53" s="41"/>
      <c r="S53" s="42"/>
      <c r="T53" s="157">
        <v>45913.0</v>
      </c>
      <c r="U53" s="158">
        <v>228.0</v>
      </c>
      <c r="V53" s="40"/>
      <c r="W53" s="41"/>
      <c r="X53" s="42"/>
      <c r="Y53" s="41"/>
      <c r="Z53" s="42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7"/>
      <c r="AX53" s="7"/>
      <c r="AY53" s="7"/>
      <c r="AZ53" s="7"/>
    </row>
    <row r="54" ht="27.0" customHeight="1">
      <c r="A54" s="4"/>
      <c r="B54" s="88" t="s">
        <v>48</v>
      </c>
      <c r="C54" s="79"/>
      <c r="D54" s="80"/>
      <c r="E54" s="82">
        <f>E51+E52</f>
        <v>2015.7</v>
      </c>
      <c r="F54" s="42"/>
      <c r="G54" s="157">
        <v>45917.0</v>
      </c>
      <c r="H54" s="158">
        <v>50.0</v>
      </c>
      <c r="I54" s="173"/>
      <c r="L54" s="177"/>
      <c r="M54" s="42"/>
      <c r="N54" s="4"/>
      <c r="O54" s="90" t="s">
        <v>22</v>
      </c>
      <c r="P54" s="79"/>
      <c r="Q54" s="80"/>
      <c r="R54" s="85"/>
      <c r="S54" s="42"/>
      <c r="T54" s="157">
        <v>45917.0</v>
      </c>
      <c r="U54" s="158">
        <v>50.0</v>
      </c>
      <c r="V54" s="173"/>
      <c r="Y54" s="177"/>
      <c r="Z54" s="42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7"/>
      <c r="AX54" s="7"/>
      <c r="AY54" s="7"/>
      <c r="AZ54" s="7"/>
    </row>
    <row r="55">
      <c r="A55" s="4"/>
      <c r="B55" s="4"/>
      <c r="C55" s="4"/>
      <c r="D55" s="4"/>
      <c r="E55" s="4"/>
      <c r="F55" s="4"/>
      <c r="G55" s="160">
        <v>45922.0</v>
      </c>
      <c r="H55" s="161">
        <v>26.0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160">
        <v>45922.0</v>
      </c>
      <c r="U55" s="161">
        <v>26.0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>
      <c r="A56" s="4"/>
      <c r="B56" s="91" t="s">
        <v>24</v>
      </c>
      <c r="C56" s="92"/>
      <c r="G56" s="4"/>
      <c r="H56" s="83"/>
      <c r="I56" s="91"/>
      <c r="J56" s="92"/>
      <c r="N56" s="4"/>
      <c r="O56" s="91" t="s">
        <v>24</v>
      </c>
      <c r="P56" s="92"/>
      <c r="T56" s="4"/>
      <c r="U56" s="83"/>
      <c r="V56" s="91"/>
      <c r="W56" s="92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6.75" customHeight="1">
      <c r="A57" s="4"/>
      <c r="B57" s="32"/>
      <c r="C57" s="62"/>
      <c r="D57" s="32"/>
      <c r="E57" s="34"/>
      <c r="F57" s="32"/>
      <c r="G57" s="4"/>
      <c r="H57" s="32"/>
      <c r="I57" s="32"/>
      <c r="J57" s="62"/>
      <c r="K57" s="32"/>
      <c r="L57" s="34"/>
      <c r="M57" s="32"/>
      <c r="N57" s="4"/>
      <c r="O57" s="32"/>
      <c r="P57" s="62"/>
      <c r="Q57" s="32"/>
      <c r="R57" s="34"/>
      <c r="S57" s="32"/>
      <c r="T57" s="4"/>
      <c r="U57" s="32"/>
      <c r="V57" s="32"/>
      <c r="W57" s="62"/>
      <c r="X57" s="32"/>
      <c r="Y57" s="34"/>
      <c r="Z57" s="32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7"/>
      <c r="AX57" s="7"/>
      <c r="AY57" s="7"/>
      <c r="AZ57" s="7"/>
    </row>
    <row r="58">
      <c r="A58" s="4"/>
      <c r="B58" s="93"/>
      <c r="C58" s="94"/>
      <c r="D58" s="94"/>
      <c r="E58" s="95"/>
      <c r="F58" s="32"/>
      <c r="G58" s="4"/>
      <c r="H58" s="32"/>
      <c r="I58" s="32"/>
      <c r="M58" s="32"/>
      <c r="N58" s="4"/>
      <c r="O58" s="93"/>
      <c r="P58" s="94"/>
      <c r="Q58" s="94"/>
      <c r="R58" s="95"/>
      <c r="S58" s="32"/>
      <c r="T58" s="4"/>
      <c r="U58" s="32"/>
      <c r="V58" s="32"/>
      <c r="Z58" s="32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7"/>
      <c r="AX58" s="7"/>
      <c r="AY58" s="7"/>
      <c r="AZ58" s="7"/>
    </row>
    <row r="59">
      <c r="A59" s="4"/>
      <c r="B59" s="96"/>
      <c r="E59" s="97"/>
      <c r="F59" s="32"/>
      <c r="G59" s="4"/>
      <c r="H59" s="32"/>
      <c r="M59" s="32"/>
      <c r="N59" s="4"/>
      <c r="O59" s="96"/>
      <c r="R59" s="97"/>
      <c r="S59" s="32"/>
      <c r="T59" s="4"/>
      <c r="U59" s="32"/>
      <c r="Z59" s="32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7"/>
      <c r="AX59" s="7"/>
      <c r="AY59" s="7"/>
      <c r="AZ59" s="7"/>
    </row>
    <row r="60">
      <c r="A60" s="4"/>
      <c r="B60" s="96"/>
      <c r="E60" s="97"/>
      <c r="F60" s="32"/>
      <c r="G60" s="4"/>
      <c r="H60" s="32"/>
      <c r="M60" s="32"/>
      <c r="N60" s="4"/>
      <c r="O60" s="96"/>
      <c r="R60" s="97"/>
      <c r="S60" s="32"/>
      <c r="T60" s="4"/>
      <c r="U60" s="32"/>
      <c r="Z60" s="32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7"/>
      <c r="AX60" s="7"/>
      <c r="AY60" s="7"/>
      <c r="AZ60" s="7"/>
    </row>
    <row r="61">
      <c r="A61" s="4"/>
      <c r="B61" s="96"/>
      <c r="E61" s="97"/>
      <c r="F61" s="32"/>
      <c r="G61" s="4"/>
      <c r="H61" s="32"/>
      <c r="M61" s="32"/>
      <c r="N61" s="4"/>
      <c r="O61" s="96"/>
      <c r="R61" s="97"/>
      <c r="S61" s="32"/>
      <c r="T61" s="4"/>
      <c r="U61" s="32"/>
      <c r="Z61" s="32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>
      <c r="A62" s="4"/>
      <c r="B62" s="96"/>
      <c r="E62" s="97"/>
      <c r="F62" s="32"/>
      <c r="G62" s="4"/>
      <c r="H62" s="32"/>
      <c r="M62" s="32"/>
      <c r="N62" s="4"/>
      <c r="O62" s="96"/>
      <c r="R62" s="97"/>
      <c r="S62" s="32"/>
      <c r="T62" s="4"/>
      <c r="U62" s="32"/>
      <c r="Z62" s="32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>
      <c r="A63" s="4"/>
      <c r="B63" s="96"/>
      <c r="E63" s="97"/>
      <c r="F63" s="32"/>
      <c r="G63" s="4"/>
      <c r="H63" s="4"/>
      <c r="M63" s="32"/>
      <c r="N63" s="4"/>
      <c r="O63" s="96"/>
      <c r="R63" s="97"/>
      <c r="S63" s="32"/>
      <c r="T63" s="4"/>
      <c r="U63" s="4"/>
      <c r="Z63" s="32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>
      <c r="A64" s="4"/>
      <c r="B64" s="98"/>
      <c r="C64" s="79"/>
      <c r="D64" s="79"/>
      <c r="E64" s="80"/>
      <c r="F64" s="32"/>
      <c r="G64" s="4"/>
      <c r="H64" s="4"/>
      <c r="M64" s="32"/>
      <c r="N64" s="4"/>
      <c r="O64" s="98"/>
      <c r="P64" s="79"/>
      <c r="Q64" s="79"/>
      <c r="R64" s="80"/>
      <c r="S64" s="32"/>
      <c r="T64" s="4"/>
      <c r="U64" s="4"/>
      <c r="Z64" s="32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>
      <c r="A65" s="4"/>
      <c r="B65" s="32"/>
      <c r="C65" s="62"/>
      <c r="D65" s="32"/>
      <c r="E65" s="34"/>
      <c r="F65" s="32"/>
      <c r="G65" s="4"/>
      <c r="H65" s="4"/>
      <c r="I65" s="68"/>
      <c r="J65" s="4"/>
      <c r="K65" s="4"/>
      <c r="L65" s="4"/>
      <c r="M65" s="4"/>
      <c r="N65" s="32"/>
      <c r="O65" s="62"/>
      <c r="P65" s="32"/>
      <c r="Q65" s="34"/>
      <c r="R65" s="32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>
      <c r="A66" s="4"/>
      <c r="B66" s="32"/>
      <c r="C66" s="62"/>
      <c r="D66" s="4"/>
      <c r="E66" s="34"/>
      <c r="F66" s="32"/>
      <c r="G66" s="4"/>
      <c r="H66" s="4"/>
      <c r="I66" s="68"/>
      <c r="J66" s="4"/>
      <c r="K66" s="4"/>
      <c r="L66" s="4"/>
      <c r="M66" s="4"/>
      <c r="N66" s="32"/>
      <c r="O66" s="62"/>
      <c r="P66" s="32"/>
      <c r="Q66" s="34"/>
      <c r="R66" s="32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32"/>
      <c r="O67" s="62"/>
      <c r="P67" s="32"/>
      <c r="Q67" s="34"/>
      <c r="R67" s="32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68"/>
      <c r="P68" s="4"/>
      <c r="Q68" s="3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99"/>
      <c r="O69" s="62"/>
      <c r="P69" s="32"/>
      <c r="Q69" s="34"/>
      <c r="R69" s="32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7"/>
      <c r="O70" s="62"/>
      <c r="P70" s="32"/>
      <c r="Q70" s="34"/>
      <c r="R70" s="32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68"/>
      <c r="P71" s="4"/>
      <c r="Q71" s="3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7"/>
      <c r="O72" s="62"/>
      <c r="P72" s="32"/>
      <c r="Q72" s="34"/>
      <c r="R72" s="32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>
      <c r="A75" s="4"/>
      <c r="B75" s="100"/>
      <c r="C75" s="101"/>
      <c r="G75" s="4"/>
      <c r="H75" s="13"/>
      <c r="I75" s="86"/>
      <c r="M75" s="4"/>
      <c r="N75" s="13"/>
      <c r="O75" s="16"/>
      <c r="S75" s="4"/>
      <c r="T75" s="100"/>
      <c r="U75" s="102"/>
      <c r="Y75" s="4"/>
      <c r="Z75" s="13"/>
      <c r="AA75" s="16"/>
      <c r="AE75" s="4"/>
      <c r="AF75" s="13"/>
      <c r="AG75" s="16"/>
      <c r="AK75" s="4"/>
      <c r="AL75" s="13"/>
      <c r="AM75" s="16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>
      <c r="A76" s="4"/>
      <c r="B76" s="4"/>
      <c r="C76" s="7"/>
      <c r="D76" s="7"/>
      <c r="E76" s="7"/>
      <c r="F76" s="7"/>
      <c r="G76" s="4"/>
      <c r="H76" s="4"/>
      <c r="I76" s="7"/>
      <c r="J76" s="7"/>
      <c r="K76" s="7"/>
      <c r="L76" s="7"/>
      <c r="M76" s="4"/>
      <c r="N76" s="4"/>
      <c r="O76" s="7"/>
      <c r="P76" s="7"/>
      <c r="Q76" s="7"/>
      <c r="R76" s="7"/>
      <c r="S76" s="4"/>
      <c r="T76" s="4"/>
      <c r="U76" s="7"/>
      <c r="V76" s="7"/>
      <c r="W76" s="7"/>
      <c r="X76" s="7"/>
      <c r="Y76" s="4"/>
      <c r="Z76" s="4"/>
      <c r="AA76" s="7"/>
      <c r="AB76" s="7"/>
      <c r="AC76" s="7"/>
      <c r="AD76" s="7"/>
      <c r="AE76" s="4"/>
      <c r="AF76" s="4"/>
      <c r="AG76" s="7"/>
      <c r="AH76" s="7"/>
      <c r="AI76" s="7"/>
      <c r="AJ76" s="7"/>
      <c r="AK76" s="4"/>
      <c r="AL76" s="4"/>
      <c r="AM76" s="7"/>
      <c r="AN76" s="7"/>
      <c r="AO76" s="7"/>
      <c r="AP76" s="7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>
      <c r="A77" s="4"/>
      <c r="B77" s="103"/>
      <c r="C77" s="28"/>
      <c r="D77" s="29"/>
      <c r="E77" s="30"/>
      <c r="F77" s="68"/>
      <c r="G77" s="4"/>
      <c r="H77" s="103"/>
      <c r="I77" s="28"/>
      <c r="J77" s="29"/>
      <c r="K77" s="30"/>
      <c r="L77" s="31"/>
      <c r="M77" s="4"/>
      <c r="N77" s="103"/>
      <c r="O77" s="28"/>
      <c r="P77" s="29"/>
      <c r="Q77" s="30"/>
      <c r="R77" s="31"/>
      <c r="S77" s="4"/>
      <c r="T77" s="103"/>
      <c r="U77" s="28"/>
      <c r="V77" s="29"/>
      <c r="W77" s="30"/>
      <c r="X77" s="31"/>
      <c r="Y77" s="4"/>
      <c r="Z77" s="27"/>
      <c r="AA77" s="28"/>
      <c r="AB77" s="29"/>
      <c r="AC77" s="30"/>
      <c r="AD77" s="31"/>
      <c r="AE77" s="4"/>
      <c r="AF77" s="27"/>
      <c r="AG77" s="28"/>
      <c r="AH77" s="29"/>
      <c r="AI77" s="30"/>
      <c r="AJ77" s="31"/>
      <c r="AK77" s="4"/>
      <c r="AL77" s="27"/>
      <c r="AM77" s="28"/>
      <c r="AN77" s="29"/>
      <c r="AO77" s="30"/>
      <c r="AP77" s="31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>
      <c r="A78" s="4"/>
      <c r="B78" s="4"/>
      <c r="C78" s="7"/>
      <c r="D78" s="7"/>
      <c r="E78" s="4"/>
      <c r="F78" s="4"/>
      <c r="G78" s="4"/>
      <c r="H78" s="4"/>
      <c r="I78" s="7"/>
      <c r="J78" s="7"/>
      <c r="K78" s="4"/>
      <c r="L78" s="4"/>
      <c r="M78" s="4"/>
      <c r="N78" s="4"/>
      <c r="O78" s="7"/>
      <c r="P78" s="7"/>
      <c r="Q78" s="4"/>
      <c r="R78" s="4"/>
      <c r="S78" s="4"/>
      <c r="T78" s="103"/>
      <c r="U78" s="28"/>
      <c r="V78" s="29"/>
      <c r="W78" s="103"/>
      <c r="Y78" s="4"/>
      <c r="Z78" s="4"/>
      <c r="AA78" s="7"/>
      <c r="AB78" s="7"/>
      <c r="AC78" s="4"/>
      <c r="AD78" s="4"/>
      <c r="AE78" s="4"/>
      <c r="AF78" s="4"/>
      <c r="AG78" s="7"/>
      <c r="AH78" s="7"/>
      <c r="AI78" s="4"/>
      <c r="AJ78" s="4"/>
      <c r="AK78" s="4"/>
      <c r="AL78" s="4"/>
      <c r="AM78" s="7"/>
      <c r="AN78" s="7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>
      <c r="A79" s="4"/>
      <c r="B79" s="104"/>
      <c r="C79" s="41"/>
      <c r="D79" s="42"/>
      <c r="E79" s="4"/>
      <c r="F79" s="4"/>
      <c r="G79" s="4"/>
      <c r="H79" s="104"/>
      <c r="I79" s="41"/>
      <c r="J79" s="42"/>
      <c r="K79" s="4"/>
      <c r="L79" s="4"/>
      <c r="M79" s="4"/>
      <c r="N79" s="104"/>
      <c r="O79" s="41"/>
      <c r="P79" s="42"/>
      <c r="Q79" s="4"/>
      <c r="R79" s="4"/>
      <c r="S79" s="4"/>
      <c r="T79" s="104"/>
      <c r="U79" s="41"/>
      <c r="V79" s="42"/>
      <c r="W79" s="41"/>
      <c r="X79" s="42"/>
      <c r="Y79" s="4"/>
      <c r="Z79" s="40"/>
      <c r="AA79" s="41"/>
      <c r="AB79" s="42"/>
      <c r="AC79" s="4"/>
      <c r="AD79" s="4"/>
      <c r="AE79" s="4"/>
      <c r="AF79" s="40"/>
      <c r="AG79" s="41"/>
      <c r="AH79" s="42"/>
      <c r="AI79" s="4"/>
      <c r="AJ79" s="4"/>
      <c r="AK79" s="4"/>
      <c r="AL79" s="40"/>
      <c r="AM79" s="41"/>
      <c r="AN79" s="42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>
      <c r="A80" s="4"/>
      <c r="B80" s="105"/>
      <c r="C80" s="44"/>
      <c r="D80" s="42"/>
      <c r="E80" s="4"/>
      <c r="F80" s="4"/>
      <c r="G80" s="4"/>
      <c r="H80" s="105"/>
      <c r="I80" s="44"/>
      <c r="J80" s="42"/>
      <c r="K80" s="4"/>
      <c r="L80" s="4"/>
      <c r="M80" s="4"/>
      <c r="N80" s="105"/>
      <c r="O80" s="44"/>
      <c r="P80" s="42"/>
      <c r="Q80" s="4"/>
      <c r="R80" s="4"/>
      <c r="S80" s="4"/>
      <c r="T80" s="105"/>
      <c r="U80" s="44"/>
      <c r="V80" s="42"/>
      <c r="W80" s="44"/>
      <c r="X80" s="42"/>
      <c r="Y80" s="4"/>
      <c r="Z80" s="15"/>
      <c r="AA80" s="44"/>
      <c r="AB80" s="42"/>
      <c r="AC80" s="4"/>
      <c r="AD80" s="4"/>
      <c r="AE80" s="4"/>
      <c r="AF80" s="15"/>
      <c r="AG80" s="44"/>
      <c r="AH80" s="42"/>
      <c r="AI80" s="4"/>
      <c r="AJ80" s="4"/>
      <c r="AK80" s="4"/>
      <c r="AL80" s="15"/>
      <c r="AM80" s="44"/>
      <c r="AN80" s="42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>
      <c r="A82" s="4"/>
      <c r="B82" s="100"/>
      <c r="C82" s="101"/>
      <c r="G82" s="4"/>
      <c r="H82" s="13"/>
      <c r="I82" s="86"/>
      <c r="M82" s="4"/>
      <c r="N82" s="13"/>
      <c r="O82" s="16"/>
      <c r="S82" s="4"/>
      <c r="T82" s="100"/>
      <c r="U82" s="102"/>
      <c r="Y82" s="4"/>
      <c r="Z82" s="13"/>
      <c r="AA82" s="16"/>
      <c r="AE82" s="4"/>
      <c r="AF82" s="13"/>
      <c r="AG82" s="16"/>
      <c r="AK82" s="4"/>
      <c r="AL82" s="13"/>
      <c r="AM82" s="16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>
      <c r="A83" s="4"/>
      <c r="B83" s="17"/>
      <c r="C83" s="17"/>
      <c r="D83" s="17"/>
      <c r="E83" s="18"/>
      <c r="F83" s="17"/>
      <c r="G83" s="4"/>
      <c r="H83" s="17"/>
      <c r="I83" s="17"/>
      <c r="J83" s="17"/>
      <c r="K83" s="18"/>
      <c r="L83" s="17"/>
      <c r="M83" s="4"/>
      <c r="N83" s="17"/>
      <c r="O83" s="17"/>
      <c r="P83" s="17"/>
      <c r="Q83" s="18"/>
      <c r="R83" s="17"/>
      <c r="S83" s="4"/>
      <c r="T83" s="17"/>
      <c r="U83" s="17"/>
      <c r="V83" s="17"/>
      <c r="W83" s="18"/>
      <c r="X83" s="17"/>
      <c r="Y83" s="4"/>
      <c r="Z83" s="17"/>
      <c r="AA83" s="17"/>
      <c r="AB83" s="17"/>
      <c r="AC83" s="18"/>
      <c r="AD83" s="17"/>
      <c r="AE83" s="4"/>
      <c r="AF83" s="17"/>
      <c r="AG83" s="17"/>
      <c r="AH83" s="17"/>
      <c r="AI83" s="18"/>
      <c r="AJ83" s="17"/>
      <c r="AK83" s="4"/>
      <c r="AL83" s="17"/>
      <c r="AM83" s="17"/>
      <c r="AN83" s="17"/>
      <c r="AO83" s="18"/>
      <c r="AP83" s="17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>
      <c r="A84" s="4"/>
      <c r="B84" s="32"/>
      <c r="C84" s="33"/>
      <c r="D84" s="32"/>
      <c r="E84" s="33"/>
      <c r="F84" s="32"/>
      <c r="G84" s="4"/>
      <c r="H84" s="32"/>
      <c r="I84" s="33"/>
      <c r="J84" s="32"/>
      <c r="K84" s="33"/>
      <c r="L84" s="32"/>
      <c r="M84" s="4"/>
      <c r="N84" s="32"/>
      <c r="O84" s="33"/>
      <c r="P84" s="32"/>
      <c r="Q84" s="33"/>
      <c r="R84" s="32"/>
      <c r="S84" s="4"/>
      <c r="T84" s="32"/>
      <c r="U84" s="33"/>
      <c r="V84" s="32"/>
      <c r="W84" s="33"/>
      <c r="X84" s="32"/>
      <c r="Y84" s="4"/>
      <c r="Z84" s="32"/>
      <c r="AA84" s="33"/>
      <c r="AB84" s="32"/>
      <c r="AC84" s="33"/>
      <c r="AD84" s="32"/>
      <c r="AE84" s="4"/>
      <c r="AF84" s="32"/>
      <c r="AG84" s="33"/>
      <c r="AH84" s="32"/>
      <c r="AI84" s="33"/>
      <c r="AJ84" s="32"/>
      <c r="AK84" s="4"/>
      <c r="AL84" s="32"/>
      <c r="AM84" s="33"/>
      <c r="AN84" s="32"/>
      <c r="AO84" s="33"/>
      <c r="AP84" s="32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>
      <c r="A85" s="4"/>
      <c r="B85" s="32"/>
      <c r="C85" s="33"/>
      <c r="D85" s="32"/>
      <c r="E85" s="33"/>
      <c r="F85" s="32"/>
      <c r="G85" s="4"/>
      <c r="H85" s="32"/>
      <c r="I85" s="33"/>
      <c r="J85" s="32"/>
      <c r="K85" s="33"/>
      <c r="L85" s="32"/>
      <c r="M85" s="4"/>
      <c r="N85" s="32"/>
      <c r="O85" s="33"/>
      <c r="P85" s="32"/>
      <c r="Q85" s="33"/>
      <c r="R85" s="32"/>
      <c r="S85" s="4"/>
      <c r="T85" s="32"/>
      <c r="U85" s="33"/>
      <c r="V85" s="32"/>
      <c r="W85" s="33"/>
      <c r="X85" s="32"/>
      <c r="Y85" s="4"/>
      <c r="Z85" s="32"/>
      <c r="AA85" s="33"/>
      <c r="AB85" s="32"/>
      <c r="AC85" s="33"/>
      <c r="AD85" s="32"/>
      <c r="AE85" s="4"/>
      <c r="AF85" s="32"/>
      <c r="AG85" s="33"/>
      <c r="AH85" s="32"/>
      <c r="AI85" s="33"/>
      <c r="AJ85" s="32"/>
      <c r="AK85" s="4"/>
      <c r="AL85" s="32"/>
      <c r="AM85" s="33"/>
      <c r="AN85" s="32"/>
      <c r="AO85" s="33"/>
      <c r="AP85" s="32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>
      <c r="A86" s="4"/>
      <c r="B86" s="32"/>
      <c r="C86" s="33"/>
      <c r="D86" s="32"/>
      <c r="E86" s="33"/>
      <c r="F86" s="32"/>
      <c r="G86" s="4"/>
      <c r="H86" s="32"/>
      <c r="I86" s="33"/>
      <c r="J86" s="32"/>
      <c r="K86" s="33"/>
      <c r="L86" s="32"/>
      <c r="M86" s="4"/>
      <c r="N86" s="32"/>
      <c r="O86" s="33"/>
      <c r="P86" s="32"/>
      <c r="Q86" s="33"/>
      <c r="R86" s="32"/>
      <c r="S86" s="4"/>
      <c r="T86" s="4"/>
      <c r="U86" s="4"/>
      <c r="V86" s="32"/>
      <c r="W86" s="4"/>
      <c r="X86" s="32"/>
      <c r="Y86" s="4"/>
      <c r="Z86" s="32"/>
      <c r="AA86" s="33"/>
      <c r="AB86" s="32"/>
      <c r="AC86" s="33"/>
      <c r="AD86" s="32"/>
      <c r="AE86" s="4"/>
      <c r="AF86" s="4"/>
      <c r="AG86" s="4"/>
      <c r="AH86" s="32"/>
      <c r="AI86" s="33"/>
      <c r="AJ86" s="32"/>
      <c r="AK86" s="4"/>
      <c r="AL86" s="32"/>
      <c r="AM86" s="33"/>
      <c r="AN86" s="32"/>
      <c r="AO86" s="33"/>
      <c r="AP86" s="32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>
      <c r="A87" s="4"/>
      <c r="B87" s="32"/>
      <c r="C87" s="33"/>
      <c r="D87" s="32"/>
      <c r="E87" s="33"/>
      <c r="F87" s="32"/>
      <c r="G87" s="4"/>
      <c r="H87" s="32"/>
      <c r="I87" s="33"/>
      <c r="J87" s="32"/>
      <c r="K87" s="33"/>
      <c r="L87" s="32"/>
      <c r="M87" s="4"/>
      <c r="N87" s="32"/>
      <c r="O87" s="33"/>
      <c r="P87" s="32"/>
      <c r="Q87" s="33"/>
      <c r="R87" s="32"/>
      <c r="S87" s="4"/>
      <c r="T87" s="4"/>
      <c r="U87" s="4"/>
      <c r="V87" s="32"/>
      <c r="W87" s="4"/>
      <c r="X87" s="32"/>
      <c r="Y87" s="4"/>
      <c r="Z87" s="32"/>
      <c r="AA87" s="33"/>
      <c r="AB87" s="32"/>
      <c r="AC87" s="33"/>
      <c r="AD87" s="32"/>
      <c r="AE87" s="4"/>
      <c r="AF87" s="4"/>
      <c r="AG87" s="4"/>
      <c r="AH87" s="32"/>
      <c r="AI87" s="33"/>
      <c r="AJ87" s="32"/>
      <c r="AK87" s="4"/>
      <c r="AL87" s="4"/>
      <c r="AM87" s="4"/>
      <c r="AN87" s="32"/>
      <c r="AO87" s="33"/>
      <c r="AP87" s="32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>
      <c r="A88" s="4"/>
      <c r="B88" s="4"/>
      <c r="C88" s="4"/>
      <c r="D88" s="4"/>
      <c r="E88" s="4"/>
      <c r="F88" s="4"/>
      <c r="G88" s="4"/>
      <c r="H88" s="32"/>
      <c r="I88" s="33"/>
      <c r="J88" s="32"/>
      <c r="K88" s="33"/>
      <c r="L88" s="32"/>
      <c r="M88" s="4"/>
      <c r="N88" s="32"/>
      <c r="O88" s="33"/>
      <c r="P88" s="32"/>
      <c r="Q88" s="33"/>
      <c r="R88" s="32"/>
      <c r="S88" s="4"/>
      <c r="T88" s="4"/>
      <c r="U88" s="4"/>
      <c r="V88" s="32"/>
      <c r="W88" s="4"/>
      <c r="X88" s="32"/>
      <c r="Y88" s="4"/>
      <c r="Z88" s="32"/>
      <c r="AA88" s="33"/>
      <c r="AB88" s="32"/>
      <c r="AC88" s="33"/>
      <c r="AD88" s="32"/>
      <c r="AE88" s="4"/>
      <c r="AF88" s="32"/>
      <c r="AG88" s="33"/>
      <c r="AH88" s="32"/>
      <c r="AI88" s="33"/>
      <c r="AJ88" s="32"/>
      <c r="AK88" s="4"/>
      <c r="AL88" s="32"/>
      <c r="AM88" s="33"/>
      <c r="AN88" s="32"/>
      <c r="AO88" s="33"/>
      <c r="AP88" s="32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32"/>
      <c r="U89" s="33"/>
      <c r="V89" s="32"/>
      <c r="W89" s="62"/>
      <c r="X89" s="3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32"/>
      <c r="U90" s="33"/>
      <c r="V90" s="32"/>
      <c r="W90" s="33"/>
      <c r="X90" s="3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32"/>
      <c r="U91" s="33"/>
      <c r="V91" s="32"/>
      <c r="W91" s="33"/>
      <c r="X91" s="32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>
      <c r="A94" s="4"/>
      <c r="B94" s="13"/>
      <c r="C94" s="8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>
      <c r="A95" s="4"/>
      <c r="B95" s="4"/>
      <c r="C95" s="7"/>
      <c r="D95" s="7"/>
      <c r="E95" s="7"/>
      <c r="F95" s="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>
      <c r="A96" s="4"/>
      <c r="B96" s="27"/>
      <c r="C96" s="28"/>
      <c r="D96" s="29"/>
      <c r="E96" s="30"/>
      <c r="F96" s="3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>
      <c r="A97" s="4"/>
      <c r="B97" s="4"/>
      <c r="C97" s="7"/>
      <c r="D97" s="7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>
      <c r="A98" s="4"/>
      <c r="B98" s="40"/>
      <c r="C98" s="41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>
      <c r="A99" s="4"/>
      <c r="B99" s="15"/>
      <c r="C99" s="44"/>
      <c r="D99" s="4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>
      <c r="A101" s="4"/>
      <c r="B101" s="13"/>
      <c r="C101" s="8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>
      <c r="A102" s="4"/>
      <c r="B102" s="17"/>
      <c r="C102" s="17"/>
      <c r="D102" s="17"/>
      <c r="E102" s="18"/>
      <c r="F102" s="1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>
      <c r="A103" s="4"/>
      <c r="B103" s="32"/>
      <c r="C103" s="33"/>
      <c r="D103" s="32"/>
      <c r="E103" s="33"/>
      <c r="F103" s="3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>
      <c r="A104" s="4"/>
      <c r="B104" s="32"/>
      <c r="C104" s="33"/>
      <c r="D104" s="32"/>
      <c r="E104" s="33"/>
      <c r="F104" s="3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>
      <c r="A105" s="4"/>
      <c r="B105" s="32"/>
      <c r="C105" s="33"/>
      <c r="D105" s="32"/>
      <c r="E105" s="33"/>
      <c r="F105" s="3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>
      <c r="A106" s="4"/>
      <c r="B106" s="32"/>
      <c r="C106" s="33"/>
      <c r="D106" s="32"/>
      <c r="E106" s="33"/>
      <c r="F106" s="3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  <c r="AA1001" s="106"/>
      <c r="AB1001" s="106"/>
      <c r="AC1001" s="106"/>
      <c r="AD1001" s="106"/>
      <c r="AE1001" s="106"/>
      <c r="AF1001" s="106"/>
      <c r="AG1001" s="106"/>
      <c r="AH1001" s="106"/>
      <c r="AI1001" s="106"/>
      <c r="AJ1001" s="106"/>
      <c r="AK1001" s="106"/>
      <c r="AL1001" s="106"/>
      <c r="AM1001" s="106"/>
      <c r="AN1001" s="106"/>
      <c r="AO1001" s="106"/>
      <c r="AP1001" s="106"/>
      <c r="AQ1001" s="106"/>
      <c r="AR1001" s="106"/>
      <c r="AS1001" s="106"/>
      <c r="AT1001" s="106"/>
      <c r="AU1001" s="106"/>
      <c r="AV1001" s="106"/>
      <c r="AW1001" s="106"/>
      <c r="AX1001" s="106"/>
      <c r="AY1001" s="106"/>
      <c r="AZ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  <c r="AA1002" s="106"/>
      <c r="AB1002" s="106"/>
      <c r="AC1002" s="106"/>
      <c r="AD1002" s="106"/>
      <c r="AE1002" s="106"/>
      <c r="AF1002" s="106"/>
      <c r="AG1002" s="106"/>
      <c r="AH1002" s="106"/>
      <c r="AI1002" s="106"/>
      <c r="AJ1002" s="106"/>
      <c r="AK1002" s="106"/>
      <c r="AL1002" s="106"/>
      <c r="AM1002" s="106"/>
      <c r="AN1002" s="106"/>
      <c r="AO1002" s="106"/>
      <c r="AP1002" s="106"/>
      <c r="AQ1002" s="106"/>
      <c r="AR1002" s="106"/>
      <c r="AS1002" s="106"/>
      <c r="AT1002" s="106"/>
      <c r="AU1002" s="106"/>
      <c r="AV1002" s="106"/>
      <c r="AW1002" s="106"/>
      <c r="AX1002" s="106"/>
      <c r="AY1002" s="106"/>
      <c r="AZ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  <c r="AA1003" s="106"/>
      <c r="AB1003" s="106"/>
      <c r="AC1003" s="106"/>
      <c r="AD1003" s="106"/>
      <c r="AE1003" s="106"/>
      <c r="AF1003" s="106"/>
      <c r="AG1003" s="106"/>
      <c r="AH1003" s="106"/>
      <c r="AI1003" s="106"/>
      <c r="AJ1003" s="106"/>
      <c r="AK1003" s="106"/>
      <c r="AL1003" s="106"/>
      <c r="AM1003" s="106"/>
      <c r="AN1003" s="106"/>
      <c r="AO1003" s="106"/>
      <c r="AP1003" s="106"/>
      <c r="AQ1003" s="106"/>
      <c r="AR1003" s="106"/>
      <c r="AS1003" s="106"/>
      <c r="AT1003" s="106"/>
      <c r="AU1003" s="106"/>
      <c r="AV1003" s="106"/>
      <c r="AW1003" s="106"/>
      <c r="AX1003" s="106"/>
      <c r="AY1003" s="106"/>
      <c r="AZ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  <c r="AA1004" s="106"/>
      <c r="AB1004" s="106"/>
      <c r="AC1004" s="106"/>
      <c r="AD1004" s="106"/>
      <c r="AE1004" s="106"/>
      <c r="AF1004" s="106"/>
      <c r="AG1004" s="106"/>
      <c r="AH1004" s="106"/>
      <c r="AI1004" s="106"/>
      <c r="AJ1004" s="106"/>
      <c r="AK1004" s="106"/>
      <c r="AL1004" s="106"/>
      <c r="AM1004" s="106"/>
      <c r="AN1004" s="106"/>
      <c r="AO1004" s="106"/>
      <c r="AP1004" s="106"/>
      <c r="AQ1004" s="106"/>
      <c r="AR1004" s="106"/>
      <c r="AS1004" s="106"/>
      <c r="AT1004" s="106"/>
      <c r="AU1004" s="106"/>
      <c r="AV1004" s="106"/>
      <c r="AW1004" s="106"/>
      <c r="AX1004" s="106"/>
      <c r="AY1004" s="106"/>
      <c r="AZ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  <c r="AA1005" s="106"/>
      <c r="AB1005" s="106"/>
      <c r="AC1005" s="106"/>
      <c r="AD1005" s="106"/>
      <c r="AE1005" s="106"/>
      <c r="AF1005" s="106"/>
      <c r="AG1005" s="106"/>
      <c r="AH1005" s="106"/>
      <c r="AI1005" s="106"/>
      <c r="AJ1005" s="106"/>
      <c r="AK1005" s="106"/>
      <c r="AL1005" s="106"/>
      <c r="AM1005" s="106"/>
      <c r="AN1005" s="106"/>
      <c r="AO1005" s="106"/>
      <c r="AP1005" s="106"/>
      <c r="AQ1005" s="106"/>
      <c r="AR1005" s="106"/>
      <c r="AS1005" s="106"/>
      <c r="AT1005" s="106"/>
      <c r="AU1005" s="106"/>
      <c r="AV1005" s="106"/>
      <c r="AW1005" s="106"/>
      <c r="AX1005" s="106"/>
      <c r="AY1005" s="106"/>
      <c r="AZ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  <c r="AA1006" s="106"/>
      <c r="AB1006" s="106"/>
      <c r="AC1006" s="106"/>
      <c r="AD1006" s="106"/>
      <c r="AE1006" s="106"/>
      <c r="AF1006" s="106"/>
      <c r="AG1006" s="106"/>
      <c r="AH1006" s="106"/>
      <c r="AI1006" s="106"/>
      <c r="AJ1006" s="106"/>
      <c r="AK1006" s="106"/>
      <c r="AL1006" s="106"/>
      <c r="AM1006" s="106"/>
      <c r="AN1006" s="106"/>
      <c r="AO1006" s="106"/>
      <c r="AP1006" s="106"/>
      <c r="AQ1006" s="106"/>
      <c r="AR1006" s="106"/>
      <c r="AS1006" s="106"/>
      <c r="AT1006" s="106"/>
      <c r="AU1006" s="106"/>
      <c r="AV1006" s="106"/>
      <c r="AW1006" s="106"/>
      <c r="AX1006" s="106"/>
      <c r="AY1006" s="106"/>
      <c r="AZ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  <c r="AA1007" s="106"/>
      <c r="AB1007" s="106"/>
      <c r="AC1007" s="106"/>
      <c r="AD1007" s="106"/>
      <c r="AE1007" s="106"/>
      <c r="AF1007" s="106"/>
      <c r="AG1007" s="106"/>
      <c r="AH1007" s="106"/>
      <c r="AI1007" s="106"/>
      <c r="AJ1007" s="106"/>
      <c r="AK1007" s="106"/>
      <c r="AL1007" s="106"/>
      <c r="AM1007" s="106"/>
      <c r="AN1007" s="106"/>
      <c r="AO1007" s="106"/>
      <c r="AP1007" s="106"/>
      <c r="AQ1007" s="106"/>
      <c r="AR1007" s="106"/>
      <c r="AS1007" s="106"/>
      <c r="AT1007" s="106"/>
      <c r="AU1007" s="106"/>
      <c r="AV1007" s="106"/>
      <c r="AW1007" s="106"/>
      <c r="AX1007" s="106"/>
      <c r="AY1007" s="106"/>
      <c r="AZ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  <c r="AA1008" s="106"/>
      <c r="AB1008" s="106"/>
      <c r="AC1008" s="106"/>
      <c r="AD1008" s="106"/>
      <c r="AE1008" s="106"/>
      <c r="AF1008" s="106"/>
      <c r="AG1008" s="106"/>
      <c r="AH1008" s="106"/>
      <c r="AI1008" s="106"/>
      <c r="AJ1008" s="106"/>
      <c r="AK1008" s="106"/>
      <c r="AL1008" s="106"/>
      <c r="AM1008" s="106"/>
      <c r="AN1008" s="106"/>
      <c r="AO1008" s="106"/>
      <c r="AP1008" s="106"/>
      <c r="AQ1008" s="106"/>
      <c r="AR1008" s="106"/>
      <c r="AS1008" s="106"/>
      <c r="AT1008" s="106"/>
      <c r="AU1008" s="106"/>
      <c r="AV1008" s="106"/>
      <c r="AW1008" s="106"/>
      <c r="AX1008" s="106"/>
      <c r="AY1008" s="106"/>
      <c r="AZ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  <c r="AA1009" s="106"/>
      <c r="AB1009" s="106"/>
      <c r="AC1009" s="106"/>
      <c r="AD1009" s="106"/>
      <c r="AE1009" s="106"/>
      <c r="AF1009" s="106"/>
      <c r="AG1009" s="106"/>
      <c r="AH1009" s="106"/>
      <c r="AI1009" s="106"/>
      <c r="AJ1009" s="106"/>
      <c r="AK1009" s="106"/>
      <c r="AL1009" s="106"/>
      <c r="AM1009" s="106"/>
      <c r="AN1009" s="106"/>
      <c r="AO1009" s="106"/>
      <c r="AP1009" s="106"/>
      <c r="AQ1009" s="106"/>
      <c r="AR1009" s="106"/>
      <c r="AS1009" s="106"/>
      <c r="AT1009" s="106"/>
      <c r="AU1009" s="106"/>
      <c r="AV1009" s="106"/>
      <c r="AW1009" s="106"/>
      <c r="AX1009" s="106"/>
      <c r="AY1009" s="106"/>
      <c r="AZ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  <c r="AA1010" s="106"/>
      <c r="AB1010" s="106"/>
      <c r="AC1010" s="106"/>
      <c r="AD1010" s="106"/>
      <c r="AE1010" s="106"/>
      <c r="AF1010" s="106"/>
      <c r="AG1010" s="106"/>
      <c r="AH1010" s="106"/>
      <c r="AI1010" s="106"/>
      <c r="AJ1010" s="106"/>
      <c r="AK1010" s="106"/>
      <c r="AL1010" s="106"/>
      <c r="AM1010" s="106"/>
      <c r="AN1010" s="106"/>
      <c r="AO1010" s="106"/>
      <c r="AP1010" s="106"/>
      <c r="AQ1010" s="106"/>
      <c r="AR1010" s="106"/>
      <c r="AS1010" s="106"/>
      <c r="AT1010" s="106"/>
      <c r="AU1010" s="106"/>
      <c r="AV1010" s="106"/>
      <c r="AW1010" s="106"/>
      <c r="AX1010" s="106"/>
      <c r="AY1010" s="106"/>
      <c r="AZ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  <c r="Y1011" s="106"/>
      <c r="Z1011" s="106"/>
      <c r="AA1011" s="106"/>
      <c r="AB1011" s="106"/>
      <c r="AC1011" s="106"/>
      <c r="AD1011" s="106"/>
      <c r="AE1011" s="106"/>
      <c r="AF1011" s="106"/>
      <c r="AG1011" s="106"/>
      <c r="AH1011" s="106"/>
      <c r="AI1011" s="106"/>
      <c r="AJ1011" s="106"/>
      <c r="AK1011" s="106"/>
      <c r="AL1011" s="106"/>
      <c r="AM1011" s="106"/>
      <c r="AN1011" s="106"/>
      <c r="AO1011" s="106"/>
      <c r="AP1011" s="106"/>
      <c r="AQ1011" s="106"/>
      <c r="AR1011" s="106"/>
      <c r="AS1011" s="106"/>
      <c r="AT1011" s="106"/>
      <c r="AU1011" s="106"/>
      <c r="AV1011" s="106"/>
      <c r="AW1011" s="106"/>
      <c r="AX1011" s="106"/>
      <c r="AY1011" s="106"/>
      <c r="AZ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  <c r="Y1012" s="106"/>
      <c r="Z1012" s="106"/>
      <c r="AA1012" s="106"/>
      <c r="AB1012" s="106"/>
      <c r="AC1012" s="106"/>
      <c r="AD1012" s="106"/>
      <c r="AE1012" s="106"/>
      <c r="AF1012" s="106"/>
      <c r="AG1012" s="106"/>
      <c r="AH1012" s="106"/>
      <c r="AI1012" s="106"/>
      <c r="AJ1012" s="106"/>
      <c r="AK1012" s="106"/>
      <c r="AL1012" s="106"/>
      <c r="AM1012" s="106"/>
      <c r="AN1012" s="106"/>
      <c r="AO1012" s="106"/>
      <c r="AP1012" s="106"/>
      <c r="AQ1012" s="106"/>
      <c r="AR1012" s="106"/>
      <c r="AS1012" s="106"/>
      <c r="AT1012" s="106"/>
      <c r="AU1012" s="106"/>
      <c r="AV1012" s="106"/>
      <c r="AW1012" s="106"/>
      <c r="AX1012" s="106"/>
      <c r="AY1012" s="106"/>
      <c r="AZ1012" s="106"/>
    </row>
    <row r="1013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106"/>
      <c r="AE1013" s="106"/>
      <c r="AF1013" s="106"/>
      <c r="AG1013" s="106"/>
      <c r="AH1013" s="106"/>
      <c r="AI1013" s="106"/>
      <c r="AJ1013" s="106"/>
      <c r="AK1013" s="106"/>
      <c r="AL1013" s="106"/>
      <c r="AM1013" s="106"/>
      <c r="AN1013" s="106"/>
      <c r="AO1013" s="106"/>
      <c r="AP1013" s="106"/>
      <c r="AQ1013" s="106"/>
      <c r="AR1013" s="106"/>
      <c r="AS1013" s="106"/>
      <c r="AT1013" s="106"/>
      <c r="AU1013" s="106"/>
      <c r="AV1013" s="106"/>
      <c r="AW1013" s="106"/>
      <c r="AX1013" s="106"/>
      <c r="AY1013" s="106"/>
      <c r="AZ1013" s="106"/>
    </row>
    <row r="1014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6"/>
      <c r="Y1014" s="106"/>
      <c r="Z1014" s="106"/>
      <c r="AA1014" s="106"/>
      <c r="AB1014" s="106"/>
      <c r="AC1014" s="106"/>
      <c r="AD1014" s="106"/>
      <c r="AE1014" s="106"/>
      <c r="AF1014" s="106"/>
      <c r="AG1014" s="106"/>
      <c r="AH1014" s="106"/>
      <c r="AI1014" s="106"/>
      <c r="AJ1014" s="106"/>
      <c r="AK1014" s="106"/>
      <c r="AL1014" s="106"/>
      <c r="AM1014" s="106"/>
      <c r="AN1014" s="106"/>
      <c r="AO1014" s="106"/>
      <c r="AP1014" s="106"/>
      <c r="AQ1014" s="106"/>
      <c r="AR1014" s="106"/>
      <c r="AS1014" s="106"/>
      <c r="AT1014" s="106"/>
      <c r="AU1014" s="106"/>
      <c r="AV1014" s="106"/>
      <c r="AW1014" s="106"/>
      <c r="AX1014" s="106"/>
      <c r="AY1014" s="106"/>
      <c r="AZ1014" s="106"/>
    </row>
    <row r="101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6"/>
      <c r="Y1015" s="106"/>
      <c r="Z1015" s="106"/>
      <c r="AA1015" s="106"/>
      <c r="AB1015" s="106"/>
      <c r="AC1015" s="106"/>
      <c r="AD1015" s="106"/>
      <c r="AE1015" s="106"/>
      <c r="AF1015" s="106"/>
      <c r="AG1015" s="106"/>
      <c r="AH1015" s="106"/>
      <c r="AI1015" s="106"/>
      <c r="AJ1015" s="106"/>
      <c r="AK1015" s="106"/>
      <c r="AL1015" s="106"/>
      <c r="AM1015" s="106"/>
      <c r="AN1015" s="106"/>
      <c r="AO1015" s="106"/>
      <c r="AP1015" s="106"/>
      <c r="AQ1015" s="106"/>
      <c r="AR1015" s="106"/>
      <c r="AS1015" s="106"/>
      <c r="AT1015" s="106"/>
      <c r="AU1015" s="106"/>
      <c r="AV1015" s="106"/>
      <c r="AW1015" s="106"/>
      <c r="AX1015" s="106"/>
      <c r="AY1015" s="106"/>
      <c r="AZ1015" s="106"/>
    </row>
    <row r="1016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6"/>
      <c r="Y1016" s="106"/>
      <c r="Z1016" s="106"/>
      <c r="AA1016" s="106"/>
      <c r="AB1016" s="106"/>
      <c r="AC1016" s="106"/>
      <c r="AD1016" s="106"/>
      <c r="AE1016" s="106"/>
      <c r="AF1016" s="106"/>
      <c r="AG1016" s="106"/>
      <c r="AH1016" s="106"/>
      <c r="AI1016" s="106"/>
      <c r="AJ1016" s="106"/>
      <c r="AK1016" s="106"/>
      <c r="AL1016" s="106"/>
      <c r="AM1016" s="106"/>
      <c r="AN1016" s="106"/>
      <c r="AO1016" s="106"/>
      <c r="AP1016" s="106"/>
      <c r="AQ1016" s="106"/>
      <c r="AR1016" s="106"/>
      <c r="AS1016" s="106"/>
      <c r="AT1016" s="106"/>
      <c r="AU1016" s="106"/>
      <c r="AV1016" s="106"/>
      <c r="AW1016" s="106"/>
      <c r="AX1016" s="106"/>
      <c r="AY1016" s="106"/>
      <c r="AZ1016" s="106"/>
    </row>
    <row r="1017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6"/>
      <c r="Y1017" s="106"/>
      <c r="Z1017" s="106"/>
      <c r="AA1017" s="106"/>
      <c r="AB1017" s="106"/>
      <c r="AC1017" s="106"/>
      <c r="AD1017" s="106"/>
      <c r="AE1017" s="106"/>
      <c r="AF1017" s="106"/>
      <c r="AG1017" s="106"/>
      <c r="AH1017" s="106"/>
      <c r="AI1017" s="106"/>
      <c r="AJ1017" s="106"/>
      <c r="AK1017" s="106"/>
      <c r="AL1017" s="106"/>
      <c r="AM1017" s="106"/>
      <c r="AN1017" s="106"/>
      <c r="AO1017" s="106"/>
      <c r="AP1017" s="106"/>
      <c r="AQ1017" s="106"/>
      <c r="AR1017" s="106"/>
      <c r="AS1017" s="106"/>
      <c r="AT1017" s="106"/>
      <c r="AU1017" s="106"/>
      <c r="AV1017" s="106"/>
      <c r="AW1017" s="106"/>
      <c r="AX1017" s="106"/>
      <c r="AY1017" s="106"/>
      <c r="AZ1017" s="106"/>
    </row>
    <row r="1018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106"/>
      <c r="AE1018" s="106"/>
      <c r="AF1018" s="106"/>
      <c r="AG1018" s="106"/>
      <c r="AH1018" s="106"/>
      <c r="AI1018" s="106"/>
      <c r="AJ1018" s="106"/>
      <c r="AK1018" s="106"/>
      <c r="AL1018" s="106"/>
      <c r="AM1018" s="106"/>
      <c r="AN1018" s="106"/>
      <c r="AO1018" s="106"/>
      <c r="AP1018" s="106"/>
      <c r="AQ1018" s="106"/>
      <c r="AR1018" s="106"/>
      <c r="AS1018" s="106"/>
      <c r="AT1018" s="106"/>
      <c r="AU1018" s="106"/>
      <c r="AV1018" s="106"/>
      <c r="AW1018" s="106"/>
      <c r="AX1018" s="106"/>
      <c r="AY1018" s="106"/>
      <c r="AZ1018" s="106"/>
    </row>
    <row r="1019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6"/>
      <c r="Y1019" s="106"/>
      <c r="Z1019" s="106"/>
      <c r="AA1019" s="106"/>
      <c r="AB1019" s="106"/>
      <c r="AC1019" s="106"/>
      <c r="AD1019" s="106"/>
      <c r="AE1019" s="106"/>
      <c r="AF1019" s="106"/>
      <c r="AG1019" s="106"/>
      <c r="AH1019" s="106"/>
      <c r="AI1019" s="106"/>
      <c r="AJ1019" s="106"/>
      <c r="AK1019" s="106"/>
      <c r="AL1019" s="106"/>
      <c r="AM1019" s="106"/>
      <c r="AN1019" s="106"/>
      <c r="AO1019" s="106"/>
      <c r="AP1019" s="106"/>
      <c r="AQ1019" s="106"/>
      <c r="AR1019" s="106"/>
      <c r="AS1019" s="106"/>
      <c r="AT1019" s="106"/>
      <c r="AU1019" s="106"/>
      <c r="AV1019" s="106"/>
      <c r="AW1019" s="106"/>
      <c r="AX1019" s="106"/>
      <c r="AY1019" s="106"/>
      <c r="AZ1019" s="106"/>
    </row>
    <row r="1020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6"/>
      <c r="Y1020" s="106"/>
      <c r="Z1020" s="106"/>
      <c r="AA1020" s="106"/>
      <c r="AB1020" s="106"/>
      <c r="AC1020" s="106"/>
      <c r="AD1020" s="106"/>
      <c r="AE1020" s="106"/>
      <c r="AF1020" s="106"/>
      <c r="AG1020" s="106"/>
      <c r="AH1020" s="106"/>
      <c r="AI1020" s="106"/>
      <c r="AJ1020" s="106"/>
      <c r="AK1020" s="106"/>
      <c r="AL1020" s="106"/>
      <c r="AM1020" s="106"/>
      <c r="AN1020" s="106"/>
      <c r="AO1020" s="106"/>
      <c r="AP1020" s="106"/>
      <c r="AQ1020" s="106"/>
      <c r="AR1020" s="106"/>
      <c r="AS1020" s="106"/>
      <c r="AT1020" s="106"/>
      <c r="AU1020" s="106"/>
      <c r="AV1020" s="106"/>
      <c r="AW1020" s="106"/>
      <c r="AX1020" s="106"/>
      <c r="AY1020" s="106"/>
      <c r="AZ1020" s="106"/>
    </row>
    <row r="1021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6"/>
      <c r="Y1021" s="106"/>
      <c r="Z1021" s="106"/>
      <c r="AA1021" s="106"/>
      <c r="AB1021" s="106"/>
      <c r="AC1021" s="106"/>
      <c r="AD1021" s="106"/>
      <c r="AE1021" s="106"/>
      <c r="AF1021" s="106"/>
      <c r="AG1021" s="106"/>
      <c r="AH1021" s="106"/>
      <c r="AI1021" s="106"/>
      <c r="AJ1021" s="106"/>
      <c r="AK1021" s="106"/>
      <c r="AL1021" s="106"/>
      <c r="AM1021" s="106"/>
      <c r="AN1021" s="106"/>
      <c r="AO1021" s="106"/>
      <c r="AP1021" s="106"/>
      <c r="AQ1021" s="106"/>
      <c r="AR1021" s="106"/>
      <c r="AS1021" s="106"/>
      <c r="AT1021" s="106"/>
      <c r="AU1021" s="106"/>
      <c r="AV1021" s="106"/>
      <c r="AW1021" s="106"/>
      <c r="AX1021" s="106"/>
      <c r="AY1021" s="106"/>
      <c r="AZ1021" s="106"/>
    </row>
    <row r="1022">
      <c r="A1022" s="106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/>
      <c r="W1022" s="106"/>
      <c r="X1022" s="106"/>
      <c r="Y1022" s="106"/>
      <c r="Z1022" s="106"/>
      <c r="AA1022" s="106"/>
      <c r="AB1022" s="106"/>
      <c r="AC1022" s="106"/>
      <c r="AD1022" s="106"/>
      <c r="AE1022" s="106"/>
      <c r="AF1022" s="106"/>
      <c r="AG1022" s="106"/>
      <c r="AH1022" s="106"/>
      <c r="AI1022" s="106"/>
      <c r="AJ1022" s="106"/>
      <c r="AK1022" s="106"/>
      <c r="AL1022" s="106"/>
      <c r="AM1022" s="106"/>
      <c r="AN1022" s="106"/>
      <c r="AO1022" s="106"/>
      <c r="AP1022" s="106"/>
      <c r="AQ1022" s="106"/>
      <c r="AR1022" s="106"/>
      <c r="AS1022" s="106"/>
      <c r="AT1022" s="106"/>
      <c r="AU1022" s="106"/>
      <c r="AV1022" s="106"/>
      <c r="AW1022" s="106"/>
      <c r="AX1022" s="106"/>
      <c r="AY1022" s="106"/>
      <c r="AZ1022" s="106"/>
    </row>
  </sheetData>
  <mergeCells count="66">
    <mergeCell ref="O46:Q46"/>
    <mergeCell ref="O47:Q47"/>
    <mergeCell ref="O48:Q48"/>
    <mergeCell ref="O51:Q51"/>
    <mergeCell ref="S51:U51"/>
    <mergeCell ref="V51:X51"/>
    <mergeCell ref="C75:F75"/>
    <mergeCell ref="C82:F82"/>
    <mergeCell ref="I82:L82"/>
    <mergeCell ref="O82:R82"/>
    <mergeCell ref="U82:X82"/>
    <mergeCell ref="AA82:AD82"/>
    <mergeCell ref="AG82:AJ82"/>
    <mergeCell ref="AM82:AP82"/>
    <mergeCell ref="I75:L75"/>
    <mergeCell ref="O75:R75"/>
    <mergeCell ref="U75:X75"/>
    <mergeCell ref="AA75:AD75"/>
    <mergeCell ref="AG75:AJ75"/>
    <mergeCell ref="AM75:AP75"/>
    <mergeCell ref="W78:X78"/>
    <mergeCell ref="C94:F94"/>
    <mergeCell ref="C101:F101"/>
    <mergeCell ref="B47:D47"/>
    <mergeCell ref="B48:D48"/>
    <mergeCell ref="B49:D49"/>
    <mergeCell ref="B51:D51"/>
    <mergeCell ref="F51:H51"/>
    <mergeCell ref="I51:K51"/>
    <mergeCell ref="B52:D52"/>
    <mergeCell ref="P13:T13"/>
    <mergeCell ref="AR13:AZ13"/>
    <mergeCell ref="C5:F5"/>
    <mergeCell ref="J5:M5"/>
    <mergeCell ref="P5:S5"/>
    <mergeCell ref="W5:Z5"/>
    <mergeCell ref="I8:L8"/>
    <mergeCell ref="V8:Y8"/>
    <mergeCell ref="C13:G13"/>
    <mergeCell ref="B43:D43"/>
    <mergeCell ref="I43:K43"/>
    <mergeCell ref="O43:Q43"/>
    <mergeCell ref="V43:X43"/>
    <mergeCell ref="I44:K44"/>
    <mergeCell ref="O44:Q44"/>
    <mergeCell ref="V44:X44"/>
    <mergeCell ref="O45:S45"/>
    <mergeCell ref="B44:D44"/>
    <mergeCell ref="B45:F45"/>
    <mergeCell ref="B46:D46"/>
    <mergeCell ref="I46:K46"/>
    <mergeCell ref="V46:X46"/>
    <mergeCell ref="I47:K47"/>
    <mergeCell ref="V47:X47"/>
    <mergeCell ref="B54:D54"/>
    <mergeCell ref="I54:K54"/>
    <mergeCell ref="O54:Q54"/>
    <mergeCell ref="V54:X54"/>
    <mergeCell ref="C56:F56"/>
    <mergeCell ref="J56:M56"/>
    <mergeCell ref="P56:S56"/>
    <mergeCell ref="W56:Z56"/>
    <mergeCell ref="B58:E64"/>
    <mergeCell ref="I58:L64"/>
    <mergeCell ref="O58:R64"/>
    <mergeCell ref="V58:Y6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63"/>
    <col customWidth="1" min="2" max="2" width="17.25"/>
    <col customWidth="1" min="3" max="3" width="10.25"/>
    <col customWidth="1" min="4" max="4" width="9.0"/>
    <col customWidth="1" min="5" max="5" width="13.88"/>
    <col customWidth="1" min="13" max="13" width="19.5"/>
  </cols>
  <sheetData>
    <row r="1">
      <c r="A1" s="178"/>
      <c r="B1" s="179" t="s">
        <v>49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</row>
    <row r="2" ht="7.5" customHeight="1">
      <c r="A2" s="178"/>
      <c r="B2" s="180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>
      <c r="A4" s="4"/>
      <c r="B4" s="5"/>
      <c r="C4" s="6"/>
      <c r="D4" s="6"/>
      <c r="E4" s="6"/>
      <c r="F4" s="6"/>
      <c r="G4" s="4"/>
      <c r="H4" s="4"/>
      <c r="I4" s="4"/>
      <c r="J4" s="4"/>
      <c r="K4" s="4"/>
      <c r="L4" s="4"/>
      <c r="M4" s="4"/>
      <c r="N4" s="4"/>
      <c r="O4" s="7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ht="24.75" customHeight="1">
      <c r="A5" s="8"/>
      <c r="B5" s="9" t="s">
        <v>1</v>
      </c>
      <c r="C5" s="10">
        <v>400.0</v>
      </c>
      <c r="D5" s="11"/>
      <c r="E5" s="11"/>
      <c r="F5" s="12"/>
      <c r="G5" s="4"/>
      <c r="H5" s="13"/>
      <c r="I5" s="110"/>
      <c r="J5" s="111"/>
      <c r="N5" s="4"/>
      <c r="O5" s="9" t="s">
        <v>1</v>
      </c>
      <c r="P5" s="10">
        <v>400.0</v>
      </c>
      <c r="Q5" s="11"/>
      <c r="R5" s="11"/>
      <c r="S5" s="12"/>
      <c r="T5" s="4"/>
      <c r="U5" s="13"/>
      <c r="V5" s="110"/>
      <c r="W5" s="111"/>
      <c r="AA5" s="16"/>
      <c r="AB5" s="16"/>
      <c r="AC5" s="16"/>
      <c r="AD5" s="16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>
      <c r="A6" s="4"/>
      <c r="B6" s="4"/>
      <c r="C6" s="7"/>
      <c r="D6" s="7"/>
      <c r="E6" s="7"/>
      <c r="F6" s="7"/>
      <c r="G6" s="4"/>
      <c r="H6" s="4"/>
      <c r="I6" s="4"/>
      <c r="J6" s="7"/>
      <c r="K6" s="7"/>
      <c r="L6" s="7"/>
      <c r="M6" s="7"/>
      <c r="N6" s="4"/>
      <c r="O6" s="4"/>
      <c r="P6" s="7"/>
      <c r="Q6" s="7"/>
      <c r="R6" s="7"/>
      <c r="S6" s="7"/>
      <c r="T6" s="4"/>
      <c r="U6" s="4"/>
      <c r="V6" s="4"/>
      <c r="W6" s="7"/>
      <c r="X6" s="7"/>
      <c r="Y6" s="7"/>
      <c r="Z6" s="7"/>
      <c r="AA6" s="17"/>
      <c r="AB6" s="17"/>
      <c r="AC6" s="18"/>
      <c r="AD6" s="18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>
      <c r="A7" s="4"/>
      <c r="B7" s="19"/>
      <c r="C7" s="20"/>
      <c r="D7" s="20"/>
      <c r="E7" s="7"/>
      <c r="F7" s="7"/>
      <c r="G7" s="4"/>
      <c r="H7" s="4"/>
      <c r="I7" s="7"/>
      <c r="J7" s="4"/>
      <c r="K7" s="83" t="s">
        <v>26</v>
      </c>
      <c r="L7" s="4"/>
      <c r="M7" s="83"/>
      <c r="N7" s="4"/>
      <c r="O7" s="19"/>
      <c r="P7" s="20"/>
      <c r="Q7" s="20"/>
      <c r="R7" s="7"/>
      <c r="S7" s="7"/>
      <c r="T7" s="4"/>
      <c r="U7" s="4"/>
      <c r="V7" s="7"/>
      <c r="W7" s="4"/>
      <c r="X7" s="83" t="s">
        <v>26</v>
      </c>
      <c r="Y7" s="4"/>
      <c r="Z7" s="83"/>
      <c r="AA7" s="17"/>
      <c r="AB7" s="17"/>
      <c r="AC7" s="18"/>
      <c r="AD7" s="18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>
      <c r="A8" s="21"/>
      <c r="B8" s="112" t="s">
        <v>1</v>
      </c>
      <c r="C8" s="23" t="s">
        <v>2</v>
      </c>
      <c r="D8" s="24">
        <v>400.0</v>
      </c>
      <c r="E8" s="113" t="s">
        <v>3</v>
      </c>
      <c r="F8" s="26">
        <v>10.0</v>
      </c>
      <c r="G8" s="4"/>
      <c r="H8" s="27"/>
      <c r="I8" s="14"/>
      <c r="M8" s="83"/>
      <c r="N8" s="4"/>
      <c r="O8" s="112" t="s">
        <v>1</v>
      </c>
      <c r="P8" s="23" t="s">
        <v>2</v>
      </c>
      <c r="Q8" s="24">
        <v>400.0</v>
      </c>
      <c r="R8" s="113" t="s">
        <v>3</v>
      </c>
      <c r="S8" s="26">
        <v>10.0</v>
      </c>
      <c r="T8" s="4"/>
      <c r="U8" s="27"/>
      <c r="V8" s="14"/>
      <c r="Z8" s="83"/>
      <c r="AA8" s="33"/>
      <c r="AB8" s="32"/>
      <c r="AC8" s="34"/>
      <c r="AD8" s="32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>
      <c r="A9" s="4"/>
      <c r="B9" s="19"/>
      <c r="C9" s="20"/>
      <c r="D9" s="20"/>
      <c r="E9" s="20"/>
      <c r="F9" s="19"/>
      <c r="G9" s="4"/>
      <c r="H9" s="4"/>
      <c r="I9" s="7"/>
      <c r="J9" s="7"/>
      <c r="K9" s="89" t="s">
        <v>9</v>
      </c>
      <c r="L9" s="89" t="s">
        <v>27</v>
      </c>
      <c r="M9" s="83" t="s">
        <v>22</v>
      </c>
      <c r="N9" s="4"/>
      <c r="O9" s="19"/>
      <c r="P9" s="20"/>
      <c r="Q9" s="20"/>
      <c r="R9" s="20"/>
      <c r="S9" s="19"/>
      <c r="T9" s="4"/>
      <c r="U9" s="4"/>
      <c r="V9" s="7"/>
      <c r="W9" s="7"/>
      <c r="X9" s="89" t="s">
        <v>9</v>
      </c>
      <c r="Y9" s="89" t="s">
        <v>27</v>
      </c>
      <c r="Z9" s="83" t="s">
        <v>22</v>
      </c>
      <c r="AA9" s="33"/>
      <c r="AB9" s="32"/>
      <c r="AC9" s="34"/>
      <c r="AD9" s="32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>
      <c r="A10" s="21"/>
      <c r="B10" s="114" t="s">
        <v>4</v>
      </c>
      <c r="C10" s="36">
        <v>9.0</v>
      </c>
      <c r="D10" s="115" t="s">
        <v>5</v>
      </c>
      <c r="E10" s="38" t="s">
        <v>2</v>
      </c>
      <c r="F10" s="39">
        <f>D8/C10</f>
        <v>44.44444444</v>
      </c>
      <c r="G10" s="4"/>
      <c r="H10" s="40"/>
      <c r="I10" s="116"/>
      <c r="J10" s="117"/>
      <c r="K10" s="56">
        <v>45949.0</v>
      </c>
      <c r="L10" s="118">
        <v>50.0</v>
      </c>
      <c r="M10" s="119" t="s">
        <v>28</v>
      </c>
      <c r="N10" s="120"/>
      <c r="O10" s="114" t="s">
        <v>4</v>
      </c>
      <c r="P10" s="36">
        <v>9.0</v>
      </c>
      <c r="Q10" s="115" t="s">
        <v>5</v>
      </c>
      <c r="R10" s="38" t="s">
        <v>2</v>
      </c>
      <c r="S10" s="39">
        <f>Q8/P10</f>
        <v>44.44444444</v>
      </c>
      <c r="T10" s="4"/>
      <c r="U10" s="40"/>
      <c r="V10" s="116"/>
      <c r="W10" s="117"/>
      <c r="X10" s="56">
        <v>45949.0</v>
      </c>
      <c r="Y10" s="118">
        <v>50.0</v>
      </c>
      <c r="Z10" s="119" t="s">
        <v>28</v>
      </c>
      <c r="AA10" s="4"/>
      <c r="AB10" s="32"/>
      <c r="AC10" s="34"/>
      <c r="AD10" s="32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>
      <c r="A11" s="4"/>
      <c r="B11" s="43"/>
      <c r="C11" s="43"/>
      <c r="D11" s="43"/>
      <c r="E11" s="43"/>
      <c r="F11" s="43"/>
      <c r="G11" s="4"/>
      <c r="H11" s="15"/>
      <c r="I11" s="121"/>
      <c r="J11" s="121"/>
      <c r="K11" s="56">
        <v>45950.0</v>
      </c>
      <c r="L11" s="122">
        <v>50.0</v>
      </c>
      <c r="M11" s="119" t="s">
        <v>28</v>
      </c>
      <c r="N11" s="120"/>
      <c r="O11" s="43"/>
      <c r="P11" s="43"/>
      <c r="Q11" s="43"/>
      <c r="R11" s="43"/>
      <c r="S11" s="43"/>
      <c r="T11" s="4"/>
      <c r="U11" s="15"/>
      <c r="V11" s="121"/>
      <c r="W11" s="121"/>
      <c r="X11" s="56">
        <v>45950.0</v>
      </c>
      <c r="Y11" s="122">
        <v>50.0</v>
      </c>
      <c r="Z11" s="119" t="s">
        <v>28</v>
      </c>
      <c r="AA11" s="4"/>
      <c r="AB11" s="4"/>
      <c r="AC11" s="34"/>
      <c r="AD11" s="32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>
      <c r="A12" s="4"/>
      <c r="B12" s="4"/>
      <c r="C12" s="4"/>
      <c r="D12" s="4"/>
      <c r="E12" s="4"/>
      <c r="F12" s="4"/>
      <c r="G12" s="4"/>
      <c r="H12" s="4"/>
      <c r="I12" s="120"/>
      <c r="J12" s="120"/>
      <c r="K12" s="56">
        <v>45967.0</v>
      </c>
      <c r="L12" s="123">
        <v>500.0</v>
      </c>
      <c r="M12" s="119" t="s">
        <v>28</v>
      </c>
      <c r="N12" s="120"/>
      <c r="O12" s="4"/>
      <c r="P12" s="4"/>
      <c r="Q12" s="4"/>
      <c r="R12" s="4"/>
      <c r="S12" s="4"/>
      <c r="T12" s="4"/>
      <c r="U12" s="4"/>
      <c r="V12" s="120"/>
      <c r="W12" s="120"/>
      <c r="X12" s="56">
        <v>45967.0</v>
      </c>
      <c r="Y12" s="123">
        <v>500.0</v>
      </c>
      <c r="Z12" s="119" t="s">
        <v>28</v>
      </c>
      <c r="AA12" s="31"/>
      <c r="AB12" s="45"/>
      <c r="AC12" s="46"/>
      <c r="AD12" s="47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ht="31.5" customHeight="1">
      <c r="A13" s="4"/>
      <c r="B13" s="48" t="s">
        <v>6</v>
      </c>
      <c r="C13" s="49" t="s">
        <v>50</v>
      </c>
      <c r="D13" s="50"/>
      <c r="E13" s="50"/>
      <c r="F13" s="50"/>
      <c r="G13" s="51"/>
      <c r="H13" s="13"/>
      <c r="I13" s="91"/>
      <c r="J13" s="124"/>
      <c r="K13" s="56">
        <v>45974.0</v>
      </c>
      <c r="L13" s="118">
        <v>500.0</v>
      </c>
      <c r="M13" s="119" t="s">
        <v>28</v>
      </c>
      <c r="N13" s="124"/>
      <c r="O13" s="48" t="s">
        <v>6</v>
      </c>
      <c r="P13" s="49" t="s">
        <v>30</v>
      </c>
      <c r="Q13" s="50"/>
      <c r="R13" s="50"/>
      <c r="S13" s="50"/>
      <c r="T13" s="51"/>
      <c r="U13" s="13"/>
      <c r="V13" s="91"/>
      <c r="W13" s="124"/>
      <c r="X13" s="56">
        <v>45974.0</v>
      </c>
      <c r="Y13" s="118">
        <v>500.0</v>
      </c>
      <c r="Z13" s="119" t="s">
        <v>28</v>
      </c>
      <c r="AA13" s="7"/>
      <c r="AB13" s="7"/>
      <c r="AC13" s="7"/>
      <c r="AD13" s="7"/>
      <c r="AE13" s="7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16"/>
    </row>
    <row r="14">
      <c r="A14" s="4"/>
      <c r="B14" s="52" t="s">
        <v>9</v>
      </c>
      <c r="C14" s="53" t="s">
        <v>10</v>
      </c>
      <c r="D14" s="53" t="s">
        <v>11</v>
      </c>
      <c r="E14" s="53" t="s">
        <v>12</v>
      </c>
      <c r="F14" s="54"/>
      <c r="G14" s="53" t="s">
        <v>13</v>
      </c>
      <c r="H14" s="18"/>
      <c r="I14" s="125"/>
      <c r="J14" s="125"/>
      <c r="K14" s="56">
        <v>45975.0</v>
      </c>
      <c r="L14" s="126">
        <v>300.0</v>
      </c>
      <c r="M14" s="119"/>
      <c r="N14" s="125"/>
      <c r="O14" s="52" t="s">
        <v>9</v>
      </c>
      <c r="P14" s="53" t="s">
        <v>10</v>
      </c>
      <c r="Q14" s="53" t="s">
        <v>11</v>
      </c>
      <c r="R14" s="53" t="s">
        <v>12</v>
      </c>
      <c r="S14" s="54"/>
      <c r="T14" s="53" t="s">
        <v>13</v>
      </c>
      <c r="U14" s="18"/>
      <c r="V14" s="125"/>
      <c r="W14" s="125"/>
      <c r="X14" s="56">
        <v>45975.0</v>
      </c>
      <c r="Y14" s="126">
        <v>300.0</v>
      </c>
      <c r="Z14" s="119" t="s">
        <v>31</v>
      </c>
      <c r="AA14" s="7"/>
      <c r="AB14" s="7"/>
      <c r="AC14" s="7"/>
      <c r="AD14" s="7"/>
      <c r="AE14" s="7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17"/>
      <c r="AS14" s="17"/>
      <c r="AT14" s="17"/>
      <c r="AU14" s="17"/>
      <c r="AV14" s="17"/>
      <c r="AW14" s="17"/>
      <c r="AX14" s="17"/>
      <c r="AY14" s="17"/>
      <c r="AZ14" s="55"/>
    </row>
    <row r="15">
      <c r="A15" s="4"/>
      <c r="B15" s="56">
        <v>46205.0</v>
      </c>
      <c r="C15" s="58">
        <v>0.875</v>
      </c>
      <c r="D15" s="58">
        <v>0.9666666666666667</v>
      </c>
      <c r="E15" s="59">
        <f t="shared" ref="E15:E22" si="1">(D15-C15)*24</f>
        <v>2.2</v>
      </c>
      <c r="F15" s="60">
        <f t="shared" ref="F15:F22" si="2">E15/$F$8</f>
        <v>0.22</v>
      </c>
      <c r="G15" s="59">
        <f t="shared" ref="G15:G22" si="3">F15*$D$8</f>
        <v>88</v>
      </c>
      <c r="H15" s="32"/>
      <c r="I15" s="127"/>
      <c r="J15" s="128"/>
      <c r="K15" s="56">
        <v>45983.0</v>
      </c>
      <c r="L15" s="129">
        <v>1000.0</v>
      </c>
      <c r="M15" s="130"/>
      <c r="N15" s="131"/>
      <c r="O15" s="56">
        <v>46011.0</v>
      </c>
      <c r="P15" s="58">
        <v>0.6263888888888889</v>
      </c>
      <c r="Q15" s="58">
        <v>0.74375</v>
      </c>
      <c r="R15" s="59">
        <f t="shared" ref="R15:R20" si="4">(Q15-P15)*24</f>
        <v>2.816666667</v>
      </c>
      <c r="S15" s="60">
        <f t="shared" ref="S15:S20" si="5">R15/$F$8</f>
        <v>0.2816666667</v>
      </c>
      <c r="T15" s="59">
        <f t="shared" ref="T15:T20" si="6">S15*$D$8</f>
        <v>112.6666667</v>
      </c>
      <c r="U15" s="32"/>
      <c r="V15" s="127"/>
      <c r="W15" s="128"/>
      <c r="X15" s="56"/>
      <c r="Y15" s="129">
        <v>1000.0</v>
      </c>
      <c r="Z15" s="130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7"/>
      <c r="AR15" s="32"/>
      <c r="AS15" s="33"/>
      <c r="AT15" s="33"/>
      <c r="AU15" s="32"/>
      <c r="AV15" s="63"/>
      <c r="AW15" s="32"/>
      <c r="AX15" s="33"/>
      <c r="AY15" s="32"/>
      <c r="AZ15" s="64"/>
    </row>
    <row r="16">
      <c r="A16" s="4"/>
      <c r="B16" s="56">
        <v>46206.0</v>
      </c>
      <c r="C16" s="58">
        <v>0.3333333333333333</v>
      </c>
      <c r="D16" s="58">
        <v>0.3958333333333333</v>
      </c>
      <c r="E16" s="59">
        <f t="shared" si="1"/>
        <v>1.5</v>
      </c>
      <c r="F16" s="60">
        <f t="shared" si="2"/>
        <v>0.15</v>
      </c>
      <c r="G16" s="59">
        <f t="shared" si="3"/>
        <v>60</v>
      </c>
      <c r="H16" s="32"/>
      <c r="I16" s="127"/>
      <c r="J16" s="128"/>
      <c r="K16" s="56">
        <v>45987.0</v>
      </c>
      <c r="L16" s="129">
        <v>1000.0</v>
      </c>
      <c r="M16" s="130"/>
      <c r="N16" s="131"/>
      <c r="O16" s="56">
        <v>46018.0</v>
      </c>
      <c r="P16" s="58">
        <v>0.5604166666666667</v>
      </c>
      <c r="Q16" s="58">
        <v>0.6041666666666666</v>
      </c>
      <c r="R16" s="59">
        <f t="shared" si="4"/>
        <v>1.05</v>
      </c>
      <c r="S16" s="60">
        <f t="shared" si="5"/>
        <v>0.105</v>
      </c>
      <c r="T16" s="59">
        <f t="shared" si="6"/>
        <v>42</v>
      </c>
      <c r="U16" s="32"/>
      <c r="V16" s="127"/>
      <c r="W16" s="128"/>
      <c r="X16" s="56"/>
      <c r="Y16" s="129">
        <v>1000.0</v>
      </c>
      <c r="Z16" s="130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7"/>
      <c r="AR16" s="32"/>
      <c r="AS16" s="33"/>
      <c r="AT16" s="33"/>
      <c r="AU16" s="32"/>
      <c r="AV16" s="63"/>
      <c r="AW16" s="32"/>
      <c r="AX16" s="33"/>
      <c r="AY16" s="32"/>
      <c r="AZ16" s="64"/>
    </row>
    <row r="17">
      <c r="A17" s="83"/>
      <c r="B17" s="56">
        <v>46207.0</v>
      </c>
      <c r="C17" s="58">
        <v>0.5902777777777778</v>
      </c>
      <c r="D17" s="58">
        <v>0.6666666666666666</v>
      </c>
      <c r="E17" s="59">
        <f t="shared" si="1"/>
        <v>1.833333333</v>
      </c>
      <c r="F17" s="60">
        <f t="shared" si="2"/>
        <v>0.1833333333</v>
      </c>
      <c r="G17" s="59">
        <f t="shared" si="3"/>
        <v>73.33333333</v>
      </c>
      <c r="H17" s="32"/>
      <c r="I17" s="132"/>
      <c r="J17" s="128"/>
      <c r="K17" s="56">
        <v>45980.0</v>
      </c>
      <c r="L17" s="129">
        <v>101.0</v>
      </c>
      <c r="M17" s="133" t="s">
        <v>32</v>
      </c>
      <c r="N17" s="131"/>
      <c r="O17" s="56">
        <v>46034.0</v>
      </c>
      <c r="P17" s="58">
        <v>0.56875</v>
      </c>
      <c r="Q17" s="58">
        <v>0.6791666666666667</v>
      </c>
      <c r="R17" s="59">
        <f t="shared" si="4"/>
        <v>2.65</v>
      </c>
      <c r="S17" s="60">
        <f t="shared" si="5"/>
        <v>0.265</v>
      </c>
      <c r="T17" s="59">
        <f t="shared" si="6"/>
        <v>106</v>
      </c>
      <c r="U17" s="32"/>
      <c r="V17" s="132"/>
      <c r="W17" s="128"/>
      <c r="X17" s="56"/>
      <c r="Y17" s="129">
        <v>110.0</v>
      </c>
      <c r="Z17" s="133" t="s">
        <v>32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7"/>
      <c r="AR17" s="32"/>
      <c r="AS17" s="33"/>
      <c r="AT17" s="33"/>
      <c r="AU17" s="32"/>
      <c r="AV17" s="63"/>
      <c r="AW17" s="32"/>
      <c r="AX17" s="4"/>
      <c r="AY17" s="32"/>
      <c r="AZ17" s="64"/>
    </row>
    <row r="18">
      <c r="A18" s="4"/>
      <c r="B18" s="56">
        <v>46209.0</v>
      </c>
      <c r="C18" s="58">
        <v>0.6909722222222222</v>
      </c>
      <c r="D18" s="58">
        <v>0.7777777777777778</v>
      </c>
      <c r="E18" s="59">
        <f t="shared" si="1"/>
        <v>2.083333333</v>
      </c>
      <c r="F18" s="60">
        <f t="shared" si="2"/>
        <v>0.2083333333</v>
      </c>
      <c r="G18" s="59">
        <f t="shared" si="3"/>
        <v>83.33333333</v>
      </c>
      <c r="H18" s="32"/>
      <c r="I18" s="134"/>
      <c r="J18" s="128"/>
      <c r="K18" s="56">
        <v>45981.0</v>
      </c>
      <c r="L18" s="129">
        <v>300.0</v>
      </c>
      <c r="M18" s="135"/>
      <c r="N18" s="131"/>
      <c r="O18" s="56">
        <v>46041.0</v>
      </c>
      <c r="P18" s="58">
        <v>0.6319444444444444</v>
      </c>
      <c r="Q18" s="58">
        <v>0.6805555555555556</v>
      </c>
      <c r="R18" s="59">
        <f t="shared" si="4"/>
        <v>1.166666667</v>
      </c>
      <c r="S18" s="60">
        <f t="shared" si="5"/>
        <v>0.1166666667</v>
      </c>
      <c r="T18" s="59">
        <f t="shared" si="6"/>
        <v>46.66666667</v>
      </c>
      <c r="U18" s="32"/>
      <c r="V18" s="134"/>
      <c r="W18" s="128"/>
      <c r="X18" s="56"/>
      <c r="Y18" s="129">
        <v>60.0</v>
      </c>
      <c r="Z18" s="135">
        <v>45980.0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7"/>
      <c r="AR18" s="4"/>
      <c r="AS18" s="4"/>
      <c r="AT18" s="4"/>
      <c r="AU18" s="4"/>
      <c r="AV18" s="7"/>
      <c r="AW18" s="4"/>
      <c r="AX18" s="4"/>
      <c r="AY18" s="4"/>
      <c r="AZ18" s="67"/>
    </row>
    <row r="19">
      <c r="A19" s="4"/>
      <c r="B19" s="56">
        <v>46212.0</v>
      </c>
      <c r="C19" s="58">
        <v>0.6875</v>
      </c>
      <c r="D19" s="58">
        <v>0.7465277777777778</v>
      </c>
      <c r="E19" s="59">
        <f t="shared" si="1"/>
        <v>1.416666667</v>
      </c>
      <c r="F19" s="60">
        <f t="shared" si="2"/>
        <v>0.1416666667</v>
      </c>
      <c r="G19" s="59">
        <f t="shared" si="3"/>
        <v>56.66666667</v>
      </c>
      <c r="H19" s="32"/>
      <c r="I19" s="127"/>
      <c r="J19" s="128"/>
      <c r="K19" s="56">
        <v>45993.0</v>
      </c>
      <c r="L19" s="129">
        <v>101.0</v>
      </c>
      <c r="M19" s="130"/>
      <c r="N19" s="131"/>
      <c r="O19" s="56">
        <v>46042.0</v>
      </c>
      <c r="P19" s="58">
        <v>0.5451388888888888</v>
      </c>
      <c r="Q19" s="58">
        <v>0.7395833333333334</v>
      </c>
      <c r="R19" s="59">
        <f t="shared" si="4"/>
        <v>4.666666667</v>
      </c>
      <c r="S19" s="60">
        <f t="shared" si="5"/>
        <v>0.4666666667</v>
      </c>
      <c r="T19" s="59">
        <f t="shared" si="6"/>
        <v>186.6666667</v>
      </c>
      <c r="U19" s="32"/>
      <c r="V19" s="127"/>
      <c r="W19" s="128"/>
      <c r="X19" s="56"/>
      <c r="Y19" s="136"/>
      <c r="Z19" s="130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7"/>
      <c r="AR19" s="7"/>
      <c r="AS19" s="7"/>
      <c r="AT19" s="7"/>
      <c r="AU19" s="7"/>
      <c r="AV19" s="7"/>
      <c r="AW19" s="7"/>
      <c r="AX19" s="69"/>
      <c r="AY19" s="70"/>
      <c r="AZ19" s="47"/>
    </row>
    <row r="20">
      <c r="A20" s="4"/>
      <c r="B20" s="56">
        <v>46214.0</v>
      </c>
      <c r="C20" s="58">
        <v>0.7916666666666666</v>
      </c>
      <c r="D20" s="58">
        <v>0.84375</v>
      </c>
      <c r="E20" s="59">
        <f t="shared" si="1"/>
        <v>1.25</v>
      </c>
      <c r="F20" s="60">
        <f t="shared" si="2"/>
        <v>0.125</v>
      </c>
      <c r="G20" s="59">
        <f t="shared" si="3"/>
        <v>50</v>
      </c>
      <c r="H20" s="137"/>
      <c r="I20" s="127"/>
      <c r="J20" s="128"/>
      <c r="K20" s="56">
        <v>45993.0</v>
      </c>
      <c r="L20" s="129">
        <v>500.0</v>
      </c>
      <c r="M20" s="130"/>
      <c r="N20" s="131"/>
      <c r="O20" s="56">
        <v>46043.0</v>
      </c>
      <c r="P20" s="58">
        <v>0.25069444444444444</v>
      </c>
      <c r="Q20" s="58">
        <v>0.6666666666666666</v>
      </c>
      <c r="R20" s="59">
        <f t="shared" si="4"/>
        <v>9.983333333</v>
      </c>
      <c r="S20" s="60">
        <f t="shared" si="5"/>
        <v>0.9983333333</v>
      </c>
      <c r="T20" s="59">
        <f t="shared" si="6"/>
        <v>399.3333333</v>
      </c>
      <c r="U20" s="137"/>
      <c r="V20" s="127"/>
      <c r="W20" s="128"/>
      <c r="X20" s="56"/>
      <c r="Y20" s="136"/>
      <c r="Z20" s="130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7"/>
      <c r="AR20" s="7"/>
      <c r="AS20" s="7"/>
      <c r="AT20" s="7"/>
      <c r="AU20" s="7"/>
      <c r="AV20" s="7"/>
      <c r="AW20" s="7"/>
      <c r="AX20" s="69"/>
      <c r="AY20" s="4"/>
      <c r="AZ20" s="71"/>
    </row>
    <row r="21">
      <c r="A21" s="83"/>
      <c r="B21" s="56">
        <v>46215.0</v>
      </c>
      <c r="C21" s="58">
        <v>0.2604166666666667</v>
      </c>
      <c r="D21" s="58">
        <v>0.5680555555555555</v>
      </c>
      <c r="E21" s="59">
        <f t="shared" si="1"/>
        <v>7.383333333</v>
      </c>
      <c r="F21" s="60">
        <f t="shared" si="2"/>
        <v>0.7383333333</v>
      </c>
      <c r="G21" s="59">
        <f t="shared" si="3"/>
        <v>295.3333333</v>
      </c>
      <c r="H21" s="137"/>
      <c r="I21" s="127"/>
      <c r="J21" s="128"/>
      <c r="K21" s="138"/>
      <c r="L21" s="139"/>
      <c r="M21" s="133"/>
      <c r="N21" s="131"/>
      <c r="O21" s="56"/>
      <c r="P21" s="58"/>
      <c r="Q21" s="58"/>
      <c r="R21" s="59"/>
      <c r="S21" s="60"/>
      <c r="T21" s="59"/>
      <c r="U21" s="137"/>
      <c r="V21" s="127"/>
      <c r="W21" s="128"/>
      <c r="X21" s="128"/>
      <c r="Y21" s="131"/>
      <c r="Z21" s="130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7"/>
      <c r="AR21" s="7"/>
      <c r="AS21" s="7"/>
      <c r="AT21" s="7"/>
      <c r="AU21" s="7"/>
      <c r="AV21" s="7"/>
      <c r="AW21" s="7"/>
      <c r="AX21" s="69"/>
      <c r="AY21" s="4"/>
      <c r="AZ21" s="72"/>
    </row>
    <row r="22">
      <c r="A22" s="83"/>
      <c r="B22" s="56">
        <v>46218.0</v>
      </c>
      <c r="C22" s="58">
        <v>0.6645833333333333</v>
      </c>
      <c r="D22" s="58">
        <v>0.7083333333333334</v>
      </c>
      <c r="E22" s="59">
        <f t="shared" si="1"/>
        <v>1.05</v>
      </c>
      <c r="F22" s="60">
        <f t="shared" si="2"/>
        <v>0.105</v>
      </c>
      <c r="G22" s="59">
        <f t="shared" si="3"/>
        <v>42</v>
      </c>
      <c r="H22" s="137"/>
      <c r="I22" s="127"/>
      <c r="J22" s="128"/>
      <c r="K22" s="138"/>
      <c r="L22" s="139"/>
      <c r="M22" s="133"/>
      <c r="N22" s="131"/>
      <c r="O22" s="56"/>
      <c r="P22" s="58"/>
      <c r="Q22" s="58"/>
      <c r="R22" s="59"/>
      <c r="S22" s="60"/>
      <c r="T22" s="59"/>
      <c r="U22" s="137"/>
      <c r="V22" s="127"/>
      <c r="W22" s="128"/>
      <c r="X22" s="128"/>
      <c r="Y22" s="131"/>
      <c r="Z22" s="130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7"/>
      <c r="AR22" s="7"/>
      <c r="AS22" s="7"/>
      <c r="AT22" s="7"/>
      <c r="AU22" s="7"/>
      <c r="AV22" s="7"/>
      <c r="AW22" s="7"/>
      <c r="AX22" s="69"/>
      <c r="AY22" s="4"/>
      <c r="AZ22" s="72"/>
    </row>
    <row r="23">
      <c r="A23" s="83"/>
      <c r="B23" s="56"/>
      <c r="C23" s="58"/>
      <c r="D23" s="58"/>
      <c r="E23" s="59"/>
      <c r="F23" s="60"/>
      <c r="G23" s="59"/>
      <c r="H23" s="137"/>
      <c r="I23" s="127"/>
      <c r="J23" s="128"/>
      <c r="K23" s="138"/>
      <c r="L23" s="139"/>
      <c r="M23" s="133"/>
      <c r="N23" s="131"/>
      <c r="O23" s="56"/>
      <c r="P23" s="58"/>
      <c r="Q23" s="58"/>
      <c r="R23" s="59"/>
      <c r="S23" s="60"/>
      <c r="T23" s="59"/>
      <c r="U23" s="137"/>
      <c r="V23" s="127"/>
      <c r="W23" s="128"/>
      <c r="X23" s="128"/>
      <c r="Y23" s="131"/>
      <c r="Z23" s="130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7"/>
      <c r="AR23" s="7"/>
      <c r="AS23" s="7"/>
      <c r="AT23" s="7"/>
      <c r="AU23" s="7"/>
      <c r="AV23" s="7"/>
      <c r="AW23" s="7"/>
      <c r="AX23" s="69"/>
      <c r="AY23" s="4"/>
      <c r="AZ23" s="72"/>
    </row>
    <row r="24">
      <c r="A24" s="83"/>
      <c r="B24" s="56"/>
      <c r="C24" s="58"/>
      <c r="D24" s="58"/>
      <c r="E24" s="59"/>
      <c r="F24" s="60"/>
      <c r="G24" s="59"/>
      <c r="H24" s="137"/>
      <c r="I24" s="127"/>
      <c r="J24" s="128"/>
      <c r="K24" s="138">
        <v>45999.0</v>
      </c>
      <c r="L24" s="139">
        <v>1500.0</v>
      </c>
      <c r="M24" s="133" t="s">
        <v>34</v>
      </c>
      <c r="N24" s="131"/>
      <c r="O24" s="56">
        <v>46048.0</v>
      </c>
      <c r="P24" s="58">
        <v>0.27361111111111114</v>
      </c>
      <c r="Q24" s="58">
        <v>0.6993055555555555</v>
      </c>
      <c r="R24" s="59">
        <f>(Q24-P24)*24</f>
        <v>10.21666667</v>
      </c>
      <c r="S24" s="60">
        <f>R24/$F$8</f>
        <v>1.021666667</v>
      </c>
      <c r="T24" s="59">
        <f>S24*$D$8</f>
        <v>408.6666667</v>
      </c>
      <c r="U24" s="137"/>
      <c r="V24" s="127"/>
      <c r="W24" s="128"/>
      <c r="X24" s="128"/>
      <c r="Y24" s="131"/>
      <c r="Z24" s="130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7"/>
      <c r="AR24" s="7"/>
      <c r="AS24" s="7"/>
      <c r="AT24" s="7"/>
      <c r="AU24" s="7"/>
      <c r="AV24" s="7"/>
      <c r="AW24" s="7"/>
      <c r="AX24" s="69"/>
      <c r="AY24" s="4"/>
      <c r="AZ24" s="72"/>
    </row>
    <row r="25">
      <c r="A25" s="4"/>
      <c r="B25" s="56"/>
      <c r="C25" s="58"/>
      <c r="D25" s="58"/>
      <c r="E25" s="59"/>
      <c r="F25" s="60"/>
      <c r="G25" s="59"/>
      <c r="H25" s="32"/>
      <c r="I25" s="127"/>
      <c r="J25" s="128"/>
      <c r="K25" s="138">
        <v>45997.0</v>
      </c>
      <c r="L25" s="139">
        <v>250.0</v>
      </c>
      <c r="M25" s="130"/>
      <c r="N25" s="131"/>
      <c r="O25" s="56"/>
      <c r="P25" s="58"/>
      <c r="Q25" s="58"/>
      <c r="R25" s="59"/>
      <c r="S25" s="60"/>
      <c r="T25" s="59"/>
      <c r="U25" s="32"/>
      <c r="V25" s="127"/>
      <c r="W25" s="128"/>
      <c r="X25" s="128"/>
      <c r="Y25" s="131"/>
      <c r="Z25" s="130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7"/>
      <c r="AR25" s="7"/>
      <c r="AS25" s="7"/>
      <c r="AT25" s="7"/>
      <c r="AU25" s="7"/>
      <c r="AV25" s="7"/>
      <c r="AW25" s="7"/>
      <c r="AX25" s="7"/>
      <c r="AY25" s="7"/>
      <c r="AZ25" s="7"/>
    </row>
    <row r="26">
      <c r="A26" s="4"/>
      <c r="B26" s="56"/>
      <c r="C26" s="58"/>
      <c r="D26" s="58"/>
      <c r="E26" s="59"/>
      <c r="F26" s="60"/>
      <c r="G26" s="59"/>
      <c r="H26" s="32"/>
      <c r="I26" s="140"/>
      <c r="J26" s="141"/>
      <c r="K26" s="135">
        <v>46035.0</v>
      </c>
      <c r="L26" s="142">
        <v>1000.0</v>
      </c>
      <c r="M26" s="143"/>
      <c r="N26" s="144"/>
      <c r="O26" s="56"/>
      <c r="P26" s="58"/>
      <c r="Q26" s="58"/>
      <c r="R26" s="59"/>
      <c r="S26" s="60"/>
      <c r="T26" s="59"/>
      <c r="U26" s="32"/>
      <c r="V26" s="140"/>
      <c r="W26" s="141"/>
      <c r="X26" s="143"/>
      <c r="Y26" s="144"/>
      <c r="Z26" s="143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>
      <c r="A27" s="4"/>
      <c r="B27" s="56"/>
      <c r="C27" s="145"/>
      <c r="D27" s="58"/>
      <c r="E27" s="59"/>
      <c r="F27" s="60"/>
      <c r="G27" s="59"/>
      <c r="H27" s="4"/>
      <c r="I27" s="146"/>
      <c r="J27" s="147"/>
      <c r="K27" s="148">
        <v>46042.0</v>
      </c>
      <c r="L27" s="149">
        <v>2000.0</v>
      </c>
      <c r="M27" s="149"/>
      <c r="N27" s="120"/>
      <c r="O27" s="56"/>
      <c r="P27" s="145"/>
      <c r="Q27" s="58"/>
      <c r="R27" s="59"/>
      <c r="S27" s="60"/>
      <c r="T27" s="59"/>
      <c r="U27" s="4"/>
      <c r="V27" s="146"/>
      <c r="W27" s="147"/>
      <c r="X27" s="120"/>
      <c r="Y27" s="149">
        <v>1500.0</v>
      </c>
      <c r="Z27" s="149" t="s">
        <v>35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>
      <c r="A28" s="4"/>
      <c r="B28" s="56"/>
      <c r="C28" s="145"/>
      <c r="D28" s="58"/>
      <c r="E28" s="59"/>
      <c r="F28" s="60"/>
      <c r="G28" s="59"/>
      <c r="H28" s="4"/>
      <c r="I28" s="146"/>
      <c r="J28" s="147"/>
      <c r="K28" s="120"/>
      <c r="L28" s="120"/>
      <c r="M28" s="120"/>
      <c r="N28" s="120"/>
      <c r="O28" s="56"/>
      <c r="P28" s="145"/>
      <c r="Q28" s="58"/>
      <c r="R28" s="59"/>
      <c r="S28" s="60"/>
      <c r="T28" s="59"/>
      <c r="U28" s="4"/>
      <c r="V28" s="146"/>
      <c r="W28" s="147"/>
      <c r="X28" s="120"/>
      <c r="Y28" s="120"/>
      <c r="Z28" s="120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>
      <c r="A29" s="4"/>
      <c r="B29" s="56"/>
      <c r="C29" s="145"/>
      <c r="D29" s="58"/>
      <c r="E29" s="59"/>
      <c r="F29" s="60"/>
      <c r="G29" s="59"/>
      <c r="H29" s="4"/>
      <c r="I29" s="146"/>
      <c r="J29" s="147"/>
      <c r="K29" s="120"/>
      <c r="L29" s="120"/>
      <c r="M29" s="120"/>
      <c r="N29" s="120"/>
      <c r="O29" s="56"/>
      <c r="P29" s="145"/>
      <c r="Q29" s="58"/>
      <c r="R29" s="59"/>
      <c r="S29" s="60"/>
      <c r="T29" s="59"/>
      <c r="U29" s="4"/>
      <c r="V29" s="146"/>
      <c r="W29" s="147"/>
      <c r="X29" s="120"/>
      <c r="Y29" s="120"/>
      <c r="Z29" s="120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>
      <c r="A30" s="4"/>
      <c r="B30" s="56"/>
      <c r="C30" s="145"/>
      <c r="D30" s="58"/>
      <c r="E30" s="59"/>
      <c r="F30" s="60"/>
      <c r="G30" s="59"/>
      <c r="H30" s="4"/>
      <c r="I30" s="146"/>
      <c r="J30" s="147"/>
      <c r="K30" s="120"/>
      <c r="L30" s="120"/>
      <c r="M30" s="120"/>
      <c r="N30" s="120"/>
      <c r="O30" s="56"/>
      <c r="P30" s="145"/>
      <c r="Q30" s="58"/>
      <c r="R30" s="59"/>
      <c r="S30" s="60"/>
      <c r="T30" s="59"/>
      <c r="U30" s="4"/>
      <c r="V30" s="146"/>
      <c r="W30" s="147"/>
      <c r="X30" s="120"/>
      <c r="Y30" s="120"/>
      <c r="Z30" s="120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>
      <c r="A31" s="4"/>
      <c r="B31" s="56"/>
      <c r="C31" s="145"/>
      <c r="D31" s="58"/>
      <c r="E31" s="59"/>
      <c r="F31" s="60"/>
      <c r="G31" s="59"/>
      <c r="H31" s="4"/>
      <c r="I31" s="146"/>
      <c r="J31" s="147"/>
      <c r="K31" s="120"/>
      <c r="L31" s="120"/>
      <c r="M31" s="120"/>
      <c r="N31" s="120"/>
      <c r="O31" s="56"/>
      <c r="P31" s="145"/>
      <c r="Q31" s="58"/>
      <c r="R31" s="59"/>
      <c r="S31" s="60"/>
      <c r="T31" s="59"/>
      <c r="U31" s="4"/>
      <c r="V31" s="146"/>
      <c r="W31" s="147"/>
      <c r="X31" s="120"/>
      <c r="Y31" s="120"/>
      <c r="Z31" s="120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>
      <c r="A32" s="4"/>
      <c r="B32" s="56"/>
      <c r="C32" s="145"/>
      <c r="D32" s="58"/>
      <c r="E32" s="59"/>
      <c r="F32" s="60"/>
      <c r="G32" s="59"/>
      <c r="H32" s="4"/>
      <c r="I32" s="146"/>
      <c r="J32" s="147"/>
      <c r="K32" s="149" t="str">
        <f>M40</f>
        <v/>
      </c>
      <c r="L32" s="149">
        <v>1000.0</v>
      </c>
      <c r="M32" s="149" t="s">
        <v>36</v>
      </c>
      <c r="N32" s="120"/>
      <c r="O32" s="56"/>
      <c r="P32" s="145"/>
      <c r="Q32" s="58"/>
      <c r="R32" s="59"/>
      <c r="S32" s="60"/>
      <c r="T32" s="59"/>
      <c r="U32" s="4"/>
      <c r="V32" s="146"/>
      <c r="W32" s="147"/>
      <c r="X32" s="120"/>
      <c r="Y32" s="120"/>
      <c r="Z32" s="120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>
      <c r="A33" s="4"/>
      <c r="B33" s="56"/>
      <c r="C33" s="145"/>
      <c r="D33" s="58"/>
      <c r="E33" s="59"/>
      <c r="F33" s="60"/>
      <c r="G33" s="59"/>
      <c r="H33" s="4"/>
      <c r="I33" s="146"/>
      <c r="J33" s="147"/>
      <c r="K33" s="120"/>
      <c r="L33" s="120"/>
      <c r="M33" s="120"/>
      <c r="N33" s="120"/>
      <c r="O33" s="56"/>
      <c r="P33" s="145"/>
      <c r="Q33" s="58"/>
      <c r="R33" s="59"/>
      <c r="S33" s="60"/>
      <c r="T33" s="59"/>
      <c r="U33" s="4"/>
      <c r="V33" s="146"/>
      <c r="W33" s="147"/>
      <c r="X33" s="120"/>
      <c r="Y33" s="120"/>
      <c r="Z33" s="120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>
      <c r="A34" s="4"/>
      <c r="B34" s="56"/>
      <c r="C34" s="145"/>
      <c r="D34" s="58"/>
      <c r="E34" s="59"/>
      <c r="F34" s="60"/>
      <c r="G34" s="59"/>
      <c r="H34" s="4"/>
      <c r="I34" s="146"/>
      <c r="J34" s="147"/>
      <c r="K34" s="120"/>
      <c r="L34" s="120"/>
      <c r="M34" s="120"/>
      <c r="N34" s="120"/>
      <c r="O34" s="56"/>
      <c r="P34" s="145"/>
      <c r="Q34" s="58"/>
      <c r="R34" s="59"/>
      <c r="S34" s="60"/>
      <c r="T34" s="59"/>
      <c r="U34" s="4"/>
      <c r="V34" s="146"/>
      <c r="W34" s="147"/>
      <c r="X34" s="120"/>
      <c r="Y34" s="120"/>
      <c r="Z34" s="120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>
      <c r="A35" s="4"/>
      <c r="B35" s="56"/>
      <c r="C35" s="145"/>
      <c r="D35" s="58"/>
      <c r="E35" s="59"/>
      <c r="F35" s="60"/>
      <c r="G35" s="59"/>
      <c r="H35" s="4"/>
      <c r="I35" s="146"/>
      <c r="J35" s="147"/>
      <c r="K35" s="120"/>
      <c r="L35" s="120"/>
      <c r="M35" s="120"/>
      <c r="N35" s="120"/>
      <c r="O35" s="56"/>
      <c r="P35" s="145"/>
      <c r="Q35" s="58"/>
      <c r="R35" s="59"/>
      <c r="S35" s="60"/>
      <c r="T35" s="59"/>
      <c r="U35" s="4"/>
      <c r="V35" s="146"/>
      <c r="W35" s="147"/>
      <c r="X35" s="120"/>
      <c r="Y35" s="120"/>
      <c r="Z35" s="120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>
      <c r="A36" s="4"/>
      <c r="B36" s="56"/>
      <c r="C36" s="145"/>
      <c r="D36" s="58"/>
      <c r="E36" s="59"/>
      <c r="F36" s="60"/>
      <c r="G36" s="59"/>
      <c r="H36" s="4"/>
      <c r="I36" s="146"/>
      <c r="J36" s="147"/>
      <c r="K36" s="120"/>
      <c r="L36" s="120"/>
      <c r="M36" s="120"/>
      <c r="N36" s="120"/>
      <c r="O36" s="56"/>
      <c r="P36" s="145"/>
      <c r="Q36" s="58"/>
      <c r="R36" s="59"/>
      <c r="S36" s="60"/>
      <c r="T36" s="59"/>
      <c r="U36" s="4"/>
      <c r="V36" s="146"/>
      <c r="W36" s="147"/>
      <c r="X36" s="120"/>
      <c r="Y36" s="120"/>
      <c r="Z36" s="120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>
      <c r="A37" s="4"/>
      <c r="B37" s="56"/>
      <c r="C37" s="145"/>
      <c r="D37" s="58"/>
      <c r="E37" s="59"/>
      <c r="F37" s="60"/>
      <c r="G37" s="59"/>
      <c r="H37" s="4"/>
      <c r="I37" s="146"/>
      <c r="J37" s="147"/>
      <c r="K37" s="120"/>
      <c r="L37" s="120"/>
      <c r="M37" s="120"/>
      <c r="N37" s="120"/>
      <c r="O37" s="56"/>
      <c r="P37" s="145"/>
      <c r="Q37" s="58"/>
      <c r="R37" s="59"/>
      <c r="S37" s="60"/>
      <c r="T37" s="59"/>
      <c r="U37" s="4"/>
      <c r="V37" s="146"/>
      <c r="W37" s="147"/>
      <c r="X37" s="120"/>
      <c r="Y37" s="120"/>
      <c r="Z37" s="120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>
      <c r="A38" s="4"/>
      <c r="B38" s="56"/>
      <c r="C38" s="145"/>
      <c r="D38" s="58"/>
      <c r="E38" s="59"/>
      <c r="F38" s="60"/>
      <c r="G38" s="59"/>
      <c r="H38" s="4"/>
      <c r="I38" s="146"/>
      <c r="J38" s="147"/>
      <c r="K38" s="120"/>
      <c r="L38" s="120"/>
      <c r="M38" s="120"/>
      <c r="N38" s="120"/>
      <c r="O38" s="56"/>
      <c r="P38" s="145"/>
      <c r="Q38" s="58"/>
      <c r="R38" s="59"/>
      <c r="S38" s="60"/>
      <c r="T38" s="59"/>
      <c r="U38" s="4"/>
      <c r="V38" s="146"/>
      <c r="W38" s="147"/>
      <c r="X38" s="120"/>
      <c r="Y38" s="120"/>
      <c r="Z38" s="120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>
      <c r="A39" s="4"/>
      <c r="B39" s="56"/>
      <c r="C39" s="145"/>
      <c r="D39" s="58"/>
      <c r="E39" s="59"/>
      <c r="F39" s="60"/>
      <c r="G39" s="59"/>
      <c r="H39" s="4"/>
      <c r="I39" s="146"/>
      <c r="J39" s="147"/>
      <c r="K39" s="120"/>
      <c r="L39" s="120"/>
      <c r="M39" s="120"/>
      <c r="N39" s="120"/>
      <c r="O39" s="56"/>
      <c r="P39" s="145"/>
      <c r="Q39" s="58"/>
      <c r="R39" s="59"/>
      <c r="S39" s="60"/>
      <c r="T39" s="59"/>
      <c r="U39" s="4"/>
      <c r="V39" s="146"/>
      <c r="W39" s="147"/>
      <c r="X39" s="120"/>
      <c r="Y39" s="120"/>
      <c r="Z39" s="120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>
      <c r="A40" s="4"/>
      <c r="B40" s="56"/>
      <c r="C40" s="145"/>
      <c r="D40" s="58"/>
      <c r="E40" s="59"/>
      <c r="F40" s="60"/>
      <c r="G40" s="59"/>
      <c r="H40" s="4"/>
      <c r="I40" s="146"/>
      <c r="J40" s="147"/>
      <c r="K40" s="120"/>
      <c r="L40" s="120"/>
      <c r="M40" s="120"/>
      <c r="N40" s="120"/>
      <c r="O40" s="56"/>
      <c r="P40" s="145"/>
      <c r="Q40" s="58"/>
      <c r="R40" s="59"/>
      <c r="S40" s="60"/>
      <c r="T40" s="59"/>
      <c r="U40" s="4"/>
      <c r="V40" s="146"/>
      <c r="W40" s="147"/>
      <c r="X40" s="120"/>
      <c r="Y40" s="120"/>
      <c r="Z40" s="120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>
      <c r="A41" s="4"/>
      <c r="B41" s="56"/>
      <c r="C41" s="145"/>
      <c r="D41" s="58"/>
      <c r="E41" s="59"/>
      <c r="F41" s="60"/>
      <c r="G41" s="59"/>
      <c r="H41" s="4"/>
      <c r="I41" s="146"/>
      <c r="J41" s="147"/>
      <c r="K41" s="120"/>
      <c r="L41" s="120"/>
      <c r="M41" s="120"/>
      <c r="N41" s="120"/>
      <c r="O41" s="56"/>
      <c r="P41" s="145"/>
      <c r="Q41" s="58"/>
      <c r="R41" s="59"/>
      <c r="S41" s="60"/>
      <c r="T41" s="59"/>
      <c r="U41" s="4"/>
      <c r="V41" s="146"/>
      <c r="W41" s="147"/>
      <c r="X41" s="120"/>
      <c r="Y41" s="120"/>
      <c r="Z41" s="120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>
      <c r="A42" s="4"/>
      <c r="B42" s="4"/>
      <c r="C42" s="4"/>
      <c r="D42" s="4"/>
      <c r="E42" s="4"/>
      <c r="F42" s="4"/>
      <c r="G42" s="4"/>
      <c r="H42" s="4"/>
      <c r="I42" s="120"/>
      <c r="J42" s="120"/>
      <c r="K42" s="120"/>
      <c r="L42" s="120"/>
      <c r="M42" s="120"/>
      <c r="N42" s="120"/>
      <c r="O42" s="4"/>
      <c r="P42" s="4"/>
      <c r="Q42" s="4"/>
      <c r="R42" s="4"/>
      <c r="S42" s="4"/>
      <c r="T42" s="4"/>
      <c r="U42" s="4"/>
      <c r="V42" s="120"/>
      <c r="W42" s="120"/>
      <c r="X42" s="120"/>
      <c r="Y42" s="120"/>
      <c r="Z42" s="120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>
      <c r="A43" s="4"/>
      <c r="B43" s="150" t="s">
        <v>15</v>
      </c>
      <c r="C43" s="79"/>
      <c r="D43" s="80"/>
      <c r="E43" s="81">
        <f>sum(E15:E41)</f>
        <v>18.71666667</v>
      </c>
      <c r="F43" s="42"/>
      <c r="G43" s="4"/>
      <c r="H43" s="4"/>
      <c r="I43" s="151"/>
      <c r="L43" s="152"/>
      <c r="M43" s="153"/>
      <c r="N43" s="120"/>
      <c r="O43" s="150" t="s">
        <v>15</v>
      </c>
      <c r="P43" s="79"/>
      <c r="Q43" s="80"/>
      <c r="R43" s="81">
        <f>sum(R15:R41)</f>
        <v>32.55</v>
      </c>
      <c r="S43" s="42"/>
      <c r="T43" s="4"/>
      <c r="U43" s="4"/>
      <c r="V43" s="151"/>
      <c r="Y43" s="152"/>
      <c r="Z43" s="153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>
      <c r="A44" s="4"/>
      <c r="B44" s="150" t="s">
        <v>16</v>
      </c>
      <c r="C44" s="79"/>
      <c r="D44" s="80"/>
      <c r="E44" s="82">
        <f>E43/F8</f>
        <v>1.871666667</v>
      </c>
      <c r="F44" s="4"/>
      <c r="G44" s="4"/>
      <c r="H44" s="4"/>
      <c r="I44" s="151"/>
      <c r="L44" s="154"/>
      <c r="M44" s="120"/>
      <c r="N44" s="120"/>
      <c r="O44" s="150" t="s">
        <v>16</v>
      </c>
      <c r="P44" s="79"/>
      <c r="Q44" s="80"/>
      <c r="R44" s="82">
        <f>R43/S8</f>
        <v>3.255</v>
      </c>
      <c r="S44" s="4"/>
      <c r="T44" s="4"/>
      <c r="U44" s="4"/>
      <c r="V44" s="151"/>
      <c r="Y44" s="154"/>
      <c r="Z44" s="120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>
      <c r="A45" s="48" t="s">
        <v>6</v>
      </c>
      <c r="B45" s="49" t="str">
        <f>C13</f>
        <v>July 2-15, 2026</v>
      </c>
      <c r="C45" s="50"/>
      <c r="D45" s="50"/>
      <c r="E45" s="50"/>
      <c r="F45" s="51"/>
      <c r="G45" s="155" t="s">
        <v>37</v>
      </c>
      <c r="H45" s="156">
        <f>sum(H46:H47)</f>
        <v>2000</v>
      </c>
      <c r="I45" s="120"/>
      <c r="J45" s="120"/>
      <c r="K45" s="120"/>
      <c r="L45" s="149" t="s">
        <v>38</v>
      </c>
      <c r="M45" s="120"/>
      <c r="N45" s="120"/>
      <c r="O45" s="49" t="str">
        <f>P13</f>
        <v>Dec 20, 2025- Jan 26, 2026</v>
      </c>
      <c r="P45" s="50"/>
      <c r="Q45" s="50"/>
      <c r="R45" s="50"/>
      <c r="S45" s="51"/>
      <c r="T45" s="155" t="s">
        <v>37</v>
      </c>
      <c r="U45" s="156">
        <f>sum(U46:U47)</f>
        <v>2000</v>
      </c>
      <c r="V45" s="120"/>
      <c r="W45" s="120"/>
      <c r="X45" s="120"/>
      <c r="Y45" s="149" t="s">
        <v>38</v>
      </c>
      <c r="Z45" s="120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>
      <c r="A46" s="179" t="s">
        <v>51</v>
      </c>
      <c r="B46" s="181" t="s">
        <v>18</v>
      </c>
      <c r="C46" s="79"/>
      <c r="D46" s="80"/>
      <c r="E46" s="82">
        <f>E44*D8</f>
        <v>748.6666667</v>
      </c>
      <c r="F46" s="83"/>
      <c r="G46" s="157">
        <v>45946.0</v>
      </c>
      <c r="H46" s="158">
        <v>1000.0</v>
      </c>
      <c r="I46" s="151"/>
      <c r="L46" s="154"/>
      <c r="M46" s="149"/>
      <c r="N46" s="120"/>
      <c r="O46" s="150" t="s">
        <v>18</v>
      </c>
      <c r="P46" s="79"/>
      <c r="Q46" s="80"/>
      <c r="R46" s="82">
        <f>R44*Q8</f>
        <v>1302</v>
      </c>
      <c r="S46" s="83"/>
      <c r="T46" s="157">
        <v>45946.0</v>
      </c>
      <c r="U46" s="158">
        <v>1000.0</v>
      </c>
      <c r="V46" s="151"/>
      <c r="Y46" s="154"/>
      <c r="Z46" s="149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22.5" customHeight="1">
      <c r="A47" s="159"/>
      <c r="B47" s="84" t="s">
        <v>19</v>
      </c>
      <c r="C47" s="79"/>
      <c r="D47" s="80"/>
      <c r="E47" s="85">
        <v>200.0</v>
      </c>
      <c r="F47" s="86"/>
      <c r="G47" s="160">
        <v>45931.0</v>
      </c>
      <c r="H47" s="161">
        <v>1000.0</v>
      </c>
      <c r="I47" s="151"/>
      <c r="L47" s="162"/>
      <c r="M47" s="92"/>
      <c r="N47" s="120"/>
      <c r="O47" s="87" t="s">
        <v>41</v>
      </c>
      <c r="P47" s="79"/>
      <c r="Q47" s="80"/>
      <c r="R47" s="85">
        <v>-3250.0</v>
      </c>
      <c r="S47" s="86"/>
      <c r="T47" s="160">
        <v>45931.0</v>
      </c>
      <c r="U47" s="161">
        <v>1000.0</v>
      </c>
      <c r="V47" s="151"/>
      <c r="Y47" s="162"/>
      <c r="Z47" s="92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>
      <c r="A48" s="4"/>
      <c r="B48" s="163"/>
      <c r="C48" s="79"/>
      <c r="D48" s="80"/>
      <c r="E48" s="85"/>
      <c r="F48" s="164"/>
      <c r="G48" s="165">
        <v>45938.0</v>
      </c>
      <c r="H48" s="166">
        <v>100.0</v>
      </c>
      <c r="I48" s="149" t="s">
        <v>42</v>
      </c>
      <c r="J48" s="167"/>
      <c r="K48" s="167"/>
      <c r="L48" s="167"/>
      <c r="M48" s="167"/>
      <c r="N48" s="120"/>
      <c r="O48" s="163"/>
      <c r="P48" s="79"/>
      <c r="Q48" s="80"/>
      <c r="R48" s="85"/>
      <c r="S48" s="164" t="s">
        <v>43</v>
      </c>
      <c r="T48" s="165">
        <v>45938.0</v>
      </c>
      <c r="U48" s="166">
        <v>100.0</v>
      </c>
      <c r="V48" s="149" t="s">
        <v>42</v>
      </c>
      <c r="W48" s="167"/>
      <c r="X48" s="167"/>
      <c r="Y48" s="167"/>
      <c r="Z48" s="167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>
      <c r="A49" s="4"/>
      <c r="F49" s="168"/>
      <c r="G49" s="169">
        <v>45945.0</v>
      </c>
      <c r="H49" s="161">
        <v>70.0</v>
      </c>
      <c r="I49" s="4"/>
      <c r="J49" s="7"/>
      <c r="K49" s="7"/>
      <c r="L49" s="7"/>
      <c r="M49" s="7"/>
      <c r="N49" s="4"/>
      <c r="O49" s="4"/>
      <c r="P49" s="7"/>
      <c r="Q49" s="7"/>
      <c r="R49" s="7"/>
      <c r="S49" s="168"/>
      <c r="T49" s="169">
        <v>45945.0</v>
      </c>
      <c r="U49" s="161">
        <v>70.0</v>
      </c>
      <c r="V49" s="4"/>
      <c r="W49" s="7"/>
      <c r="X49" s="7"/>
      <c r="Y49" s="7"/>
      <c r="Z49" s="7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26.25" customHeight="1">
      <c r="A50" s="4"/>
      <c r="B50" s="88" t="s">
        <v>45</v>
      </c>
      <c r="C50" s="79"/>
      <c r="D50" s="80"/>
      <c r="E50" s="82">
        <f>E46+E47+E48</f>
        <v>948.6666667</v>
      </c>
      <c r="F50" s="170" t="s">
        <v>46</v>
      </c>
      <c r="G50" s="171"/>
      <c r="H50" s="172"/>
      <c r="I50" s="173"/>
      <c r="L50" s="174"/>
      <c r="M50" s="31"/>
      <c r="N50" s="4"/>
      <c r="O50" s="88" t="s">
        <v>21</v>
      </c>
      <c r="P50" s="79"/>
      <c r="Q50" s="80"/>
      <c r="R50" s="82">
        <f>R46+R47+R48</f>
        <v>-1948</v>
      </c>
      <c r="S50" s="170" t="s">
        <v>46</v>
      </c>
      <c r="T50" s="171"/>
      <c r="U50" s="172"/>
      <c r="V50" s="173"/>
      <c r="Y50" s="174"/>
      <c r="Z50" s="31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7"/>
      <c r="AX50" s="7"/>
      <c r="AY50" s="7"/>
      <c r="AZ50" s="7"/>
    </row>
    <row r="51">
      <c r="A51" s="4"/>
      <c r="B51" s="87"/>
      <c r="C51" s="79"/>
      <c r="D51" s="80"/>
      <c r="E51" s="85"/>
      <c r="F51" s="4"/>
      <c r="G51" s="175">
        <v>45910.0</v>
      </c>
      <c r="H51" s="166">
        <v>56.0</v>
      </c>
      <c r="I51" s="4"/>
      <c r="J51" s="7"/>
      <c r="K51" s="7"/>
      <c r="L51" s="7"/>
      <c r="M51" s="4"/>
      <c r="N51" s="4"/>
      <c r="O51" s="4"/>
      <c r="P51" s="7"/>
      <c r="Q51" s="7"/>
      <c r="R51" s="7"/>
      <c r="S51" s="4"/>
      <c r="T51" s="175">
        <v>45910.0</v>
      </c>
      <c r="U51" s="166">
        <v>56.0</v>
      </c>
      <c r="V51" s="4"/>
      <c r="W51" s="7"/>
      <c r="X51" s="7"/>
      <c r="Y51" s="7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7"/>
      <c r="AX51" s="7"/>
      <c r="AY51" s="7"/>
      <c r="AZ51" s="7"/>
    </row>
    <row r="52">
      <c r="A52" s="4"/>
      <c r="B52" s="176" t="s">
        <v>47</v>
      </c>
      <c r="C52" s="41"/>
      <c r="D52" s="42"/>
      <c r="E52" s="41"/>
      <c r="F52" s="42"/>
      <c r="G52" s="157">
        <v>45913.0</v>
      </c>
      <c r="H52" s="158">
        <v>228.0</v>
      </c>
      <c r="I52" s="40"/>
      <c r="J52" s="41"/>
      <c r="K52" s="42"/>
      <c r="L52" s="41"/>
      <c r="M52" s="42"/>
      <c r="N52" s="4"/>
      <c r="O52" s="40"/>
      <c r="P52" s="41"/>
      <c r="Q52" s="42"/>
      <c r="R52" s="41"/>
      <c r="S52" s="42"/>
      <c r="T52" s="157">
        <v>45913.0</v>
      </c>
      <c r="U52" s="158">
        <v>228.0</v>
      </c>
      <c r="V52" s="40"/>
      <c r="W52" s="41"/>
      <c r="X52" s="42"/>
      <c r="Y52" s="41"/>
      <c r="Z52" s="42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7"/>
      <c r="AX52" s="7"/>
      <c r="AY52" s="7"/>
      <c r="AZ52" s="7"/>
    </row>
    <row r="53" ht="27.0" customHeight="1">
      <c r="A53" s="4"/>
      <c r="B53" s="88" t="s">
        <v>48</v>
      </c>
      <c r="C53" s="79"/>
      <c r="D53" s="80"/>
      <c r="E53" s="82">
        <f>E50+E51</f>
        <v>948.6666667</v>
      </c>
      <c r="F53" s="42"/>
      <c r="G53" s="157">
        <v>45917.0</v>
      </c>
      <c r="H53" s="158">
        <v>50.0</v>
      </c>
      <c r="I53" s="173"/>
      <c r="L53" s="177"/>
      <c r="M53" s="42"/>
      <c r="N53" s="4"/>
      <c r="O53" s="90" t="s">
        <v>22</v>
      </c>
      <c r="P53" s="79"/>
      <c r="Q53" s="80"/>
      <c r="R53" s="85"/>
      <c r="S53" s="42"/>
      <c r="T53" s="157">
        <v>45917.0</v>
      </c>
      <c r="U53" s="158">
        <v>50.0</v>
      </c>
      <c r="V53" s="173"/>
      <c r="Y53" s="177"/>
      <c r="Z53" s="42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7"/>
      <c r="AX53" s="7"/>
      <c r="AY53" s="7"/>
      <c r="AZ53" s="7"/>
    </row>
    <row r="54">
      <c r="A54" s="4"/>
      <c r="B54" s="4"/>
      <c r="C54" s="4"/>
      <c r="D54" s="4"/>
      <c r="E54" s="4"/>
      <c r="F54" s="4"/>
      <c r="G54" s="160">
        <v>45922.0</v>
      </c>
      <c r="H54" s="161">
        <v>26.0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160">
        <v>45922.0</v>
      </c>
      <c r="U54" s="161">
        <v>26.0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>
      <c r="A55" s="4"/>
      <c r="B55" s="91" t="s">
        <v>24</v>
      </c>
      <c r="C55" s="92"/>
      <c r="G55" s="4"/>
      <c r="H55" s="83"/>
      <c r="I55" s="91"/>
      <c r="J55" s="92"/>
      <c r="N55" s="4"/>
      <c r="O55" s="91" t="s">
        <v>24</v>
      </c>
      <c r="P55" s="92"/>
      <c r="T55" s="4"/>
      <c r="U55" s="83"/>
      <c r="V55" s="91"/>
      <c r="W55" s="92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6.75" customHeight="1">
      <c r="A56" s="4"/>
      <c r="B56" s="32"/>
      <c r="C56" s="62"/>
      <c r="D56" s="32"/>
      <c r="E56" s="34"/>
      <c r="F56" s="32"/>
      <c r="G56" s="4"/>
      <c r="H56" s="32"/>
      <c r="I56" s="32"/>
      <c r="J56" s="62"/>
      <c r="K56" s="32"/>
      <c r="L56" s="34"/>
      <c r="M56" s="32"/>
      <c r="N56" s="4"/>
      <c r="O56" s="32"/>
      <c r="P56" s="62"/>
      <c r="Q56" s="32"/>
      <c r="R56" s="34"/>
      <c r="S56" s="32"/>
      <c r="T56" s="4"/>
      <c r="U56" s="32"/>
      <c r="V56" s="32"/>
      <c r="W56" s="62"/>
      <c r="X56" s="32"/>
      <c r="Y56" s="34"/>
      <c r="Z56" s="32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7"/>
      <c r="AX56" s="7"/>
      <c r="AY56" s="7"/>
      <c r="AZ56" s="7"/>
    </row>
    <row r="57">
      <c r="A57" s="4"/>
      <c r="B57" s="93"/>
      <c r="C57" s="94"/>
      <c r="D57" s="94"/>
      <c r="E57" s="95"/>
      <c r="F57" s="32"/>
      <c r="G57" s="4"/>
      <c r="H57" s="32"/>
      <c r="I57" s="32"/>
      <c r="M57" s="32"/>
      <c r="N57" s="4"/>
      <c r="O57" s="93"/>
      <c r="P57" s="94"/>
      <c r="Q57" s="94"/>
      <c r="R57" s="95"/>
      <c r="S57" s="32"/>
      <c r="T57" s="4"/>
      <c r="U57" s="32"/>
      <c r="V57" s="32"/>
      <c r="Z57" s="32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7"/>
      <c r="AX57" s="7"/>
      <c r="AY57" s="7"/>
      <c r="AZ57" s="7"/>
    </row>
    <row r="58">
      <c r="A58" s="4"/>
      <c r="B58" s="96"/>
      <c r="E58" s="97"/>
      <c r="F58" s="32"/>
      <c r="G58" s="4"/>
      <c r="H58" s="32"/>
      <c r="M58" s="32"/>
      <c r="N58" s="4"/>
      <c r="O58" s="96"/>
      <c r="R58" s="97"/>
      <c r="S58" s="32"/>
      <c r="T58" s="4"/>
      <c r="U58" s="32"/>
      <c r="Z58" s="32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7"/>
      <c r="AX58" s="7"/>
      <c r="AY58" s="7"/>
      <c r="AZ58" s="7"/>
    </row>
    <row r="59">
      <c r="A59" s="4"/>
      <c r="B59" s="96"/>
      <c r="E59" s="97"/>
      <c r="F59" s="32"/>
      <c r="G59" s="4"/>
      <c r="H59" s="32"/>
      <c r="M59" s="32"/>
      <c r="N59" s="4"/>
      <c r="O59" s="96"/>
      <c r="R59" s="97"/>
      <c r="S59" s="32"/>
      <c r="T59" s="4"/>
      <c r="U59" s="32"/>
      <c r="Z59" s="32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7"/>
      <c r="AX59" s="7"/>
      <c r="AY59" s="7"/>
      <c r="AZ59" s="7"/>
    </row>
    <row r="60">
      <c r="A60" s="4"/>
      <c r="B60" s="96"/>
      <c r="E60" s="97"/>
      <c r="F60" s="32"/>
      <c r="G60" s="4"/>
      <c r="H60" s="32"/>
      <c r="M60" s="32"/>
      <c r="N60" s="4"/>
      <c r="O60" s="96"/>
      <c r="R60" s="97"/>
      <c r="S60" s="32"/>
      <c r="T60" s="4"/>
      <c r="U60" s="32"/>
      <c r="Z60" s="32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>
      <c r="A61" s="4"/>
      <c r="B61" s="96"/>
      <c r="E61" s="97"/>
      <c r="F61" s="32"/>
      <c r="G61" s="4"/>
      <c r="H61" s="32"/>
      <c r="M61" s="32"/>
      <c r="N61" s="4"/>
      <c r="O61" s="96"/>
      <c r="R61" s="97"/>
      <c r="S61" s="32"/>
      <c r="T61" s="4"/>
      <c r="U61" s="32"/>
      <c r="Z61" s="32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>
      <c r="A62" s="4"/>
      <c r="B62" s="96"/>
      <c r="E62" s="97"/>
      <c r="F62" s="32"/>
      <c r="G62" s="4"/>
      <c r="H62" s="4"/>
      <c r="M62" s="32"/>
      <c r="N62" s="4"/>
      <c r="O62" s="96"/>
      <c r="R62" s="97"/>
      <c r="S62" s="32"/>
      <c r="T62" s="4"/>
      <c r="U62" s="4"/>
      <c r="Z62" s="32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>
      <c r="A63" s="4"/>
      <c r="B63" s="98"/>
      <c r="C63" s="79"/>
      <c r="D63" s="79"/>
      <c r="E63" s="80"/>
      <c r="F63" s="32"/>
      <c r="G63" s="4"/>
      <c r="H63" s="4"/>
      <c r="M63" s="32"/>
      <c r="N63" s="4"/>
      <c r="O63" s="98"/>
      <c r="P63" s="79"/>
      <c r="Q63" s="79"/>
      <c r="R63" s="80"/>
      <c r="S63" s="32"/>
      <c r="T63" s="4"/>
      <c r="U63" s="4"/>
      <c r="Z63" s="32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>
      <c r="A64" s="4"/>
      <c r="B64" s="32"/>
      <c r="C64" s="62"/>
      <c r="D64" s="32"/>
      <c r="E64" s="34"/>
      <c r="F64" s="32"/>
      <c r="G64" s="4"/>
      <c r="H64" s="4"/>
      <c r="I64" s="68"/>
      <c r="J64" s="4"/>
      <c r="K64" s="4"/>
      <c r="L64" s="4"/>
      <c r="M64" s="4"/>
      <c r="N64" s="32"/>
      <c r="O64" s="62"/>
      <c r="P64" s="32"/>
      <c r="Q64" s="34"/>
      <c r="R64" s="32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>
      <c r="A65" s="4"/>
      <c r="B65" s="32"/>
      <c r="C65" s="62"/>
      <c r="D65" s="4"/>
      <c r="E65" s="34"/>
      <c r="F65" s="32"/>
      <c r="G65" s="4"/>
      <c r="H65" s="4"/>
      <c r="I65" s="68"/>
      <c r="J65" s="4"/>
      <c r="K65" s="4"/>
      <c r="L65" s="4"/>
      <c r="M65" s="4"/>
      <c r="N65" s="32"/>
      <c r="O65" s="62"/>
      <c r="P65" s="32"/>
      <c r="Q65" s="34"/>
      <c r="R65" s="32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32"/>
      <c r="O66" s="62"/>
      <c r="P66" s="32"/>
      <c r="Q66" s="34"/>
      <c r="R66" s="32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68"/>
      <c r="P67" s="4"/>
      <c r="Q67" s="3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99"/>
      <c r="O68" s="62"/>
      <c r="P68" s="32"/>
      <c r="Q68" s="34"/>
      <c r="R68" s="32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7"/>
      <c r="O69" s="62"/>
      <c r="P69" s="32"/>
      <c r="Q69" s="34"/>
      <c r="R69" s="32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68"/>
      <c r="P70" s="4"/>
      <c r="Q70" s="3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7"/>
      <c r="O71" s="62"/>
      <c r="P71" s="32"/>
      <c r="Q71" s="34"/>
      <c r="R71" s="32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>
      <c r="A74" s="4"/>
      <c r="B74" s="100"/>
      <c r="C74" s="101"/>
      <c r="G74" s="4"/>
      <c r="H74" s="13"/>
      <c r="I74" s="86"/>
      <c r="M74" s="4"/>
      <c r="N74" s="13"/>
      <c r="O74" s="16"/>
      <c r="S74" s="4"/>
      <c r="T74" s="100"/>
      <c r="U74" s="102"/>
      <c r="Y74" s="4"/>
      <c r="Z74" s="13"/>
      <c r="AA74" s="16"/>
      <c r="AE74" s="4"/>
      <c r="AF74" s="13"/>
      <c r="AG74" s="16"/>
      <c r="AK74" s="4"/>
      <c r="AL74" s="13"/>
      <c r="AM74" s="16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>
      <c r="A75" s="4"/>
      <c r="B75" s="4"/>
      <c r="C75" s="7"/>
      <c r="D75" s="7"/>
      <c r="E75" s="7"/>
      <c r="F75" s="7"/>
      <c r="G75" s="4"/>
      <c r="H75" s="4"/>
      <c r="I75" s="7"/>
      <c r="J75" s="7"/>
      <c r="K75" s="7"/>
      <c r="L75" s="7"/>
      <c r="M75" s="4"/>
      <c r="N75" s="4"/>
      <c r="O75" s="7"/>
      <c r="P75" s="7"/>
      <c r="Q75" s="7"/>
      <c r="R75" s="7"/>
      <c r="S75" s="4"/>
      <c r="T75" s="4"/>
      <c r="U75" s="7"/>
      <c r="V75" s="7"/>
      <c r="W75" s="7"/>
      <c r="X75" s="7"/>
      <c r="Y75" s="4"/>
      <c r="Z75" s="4"/>
      <c r="AA75" s="7"/>
      <c r="AB75" s="7"/>
      <c r="AC75" s="7"/>
      <c r="AD75" s="7"/>
      <c r="AE75" s="4"/>
      <c r="AF75" s="4"/>
      <c r="AG75" s="7"/>
      <c r="AH75" s="7"/>
      <c r="AI75" s="7"/>
      <c r="AJ75" s="7"/>
      <c r="AK75" s="4"/>
      <c r="AL75" s="4"/>
      <c r="AM75" s="7"/>
      <c r="AN75" s="7"/>
      <c r="AO75" s="7"/>
      <c r="AP75" s="7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>
      <c r="A76" s="4"/>
      <c r="B76" s="103"/>
      <c r="C76" s="28"/>
      <c r="D76" s="29"/>
      <c r="E76" s="30"/>
      <c r="F76" s="68"/>
      <c r="G76" s="4"/>
      <c r="H76" s="103"/>
      <c r="I76" s="28"/>
      <c r="J76" s="29"/>
      <c r="K76" s="30"/>
      <c r="L76" s="31"/>
      <c r="M76" s="4"/>
      <c r="N76" s="103"/>
      <c r="O76" s="28"/>
      <c r="P76" s="29"/>
      <c r="Q76" s="30"/>
      <c r="R76" s="31"/>
      <c r="S76" s="4"/>
      <c r="T76" s="103"/>
      <c r="U76" s="28"/>
      <c r="V76" s="29"/>
      <c r="W76" s="30"/>
      <c r="X76" s="31"/>
      <c r="Y76" s="4"/>
      <c r="Z76" s="27"/>
      <c r="AA76" s="28"/>
      <c r="AB76" s="29"/>
      <c r="AC76" s="30"/>
      <c r="AD76" s="31"/>
      <c r="AE76" s="4"/>
      <c r="AF76" s="27"/>
      <c r="AG76" s="28"/>
      <c r="AH76" s="29"/>
      <c r="AI76" s="30"/>
      <c r="AJ76" s="31"/>
      <c r="AK76" s="4"/>
      <c r="AL76" s="27"/>
      <c r="AM76" s="28"/>
      <c r="AN76" s="29"/>
      <c r="AO76" s="30"/>
      <c r="AP76" s="31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>
      <c r="A77" s="4"/>
      <c r="B77" s="4"/>
      <c r="C77" s="7"/>
      <c r="D77" s="7"/>
      <c r="E77" s="4"/>
      <c r="F77" s="4"/>
      <c r="G77" s="4"/>
      <c r="H77" s="4"/>
      <c r="I77" s="7"/>
      <c r="J77" s="7"/>
      <c r="K77" s="4"/>
      <c r="L77" s="4"/>
      <c r="M77" s="4"/>
      <c r="N77" s="4"/>
      <c r="O77" s="7"/>
      <c r="P77" s="7"/>
      <c r="Q77" s="4"/>
      <c r="R77" s="4"/>
      <c r="S77" s="4"/>
      <c r="T77" s="103"/>
      <c r="U77" s="28"/>
      <c r="V77" s="29"/>
      <c r="W77" s="103"/>
      <c r="Y77" s="4"/>
      <c r="Z77" s="4"/>
      <c r="AA77" s="7"/>
      <c r="AB77" s="7"/>
      <c r="AC77" s="4"/>
      <c r="AD77" s="4"/>
      <c r="AE77" s="4"/>
      <c r="AF77" s="4"/>
      <c r="AG77" s="7"/>
      <c r="AH77" s="7"/>
      <c r="AI77" s="4"/>
      <c r="AJ77" s="4"/>
      <c r="AK77" s="4"/>
      <c r="AL77" s="4"/>
      <c r="AM77" s="7"/>
      <c r="AN77" s="7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>
      <c r="A78" s="4"/>
      <c r="B78" s="104"/>
      <c r="C78" s="41"/>
      <c r="D78" s="42"/>
      <c r="E78" s="4"/>
      <c r="F78" s="4"/>
      <c r="G78" s="4"/>
      <c r="H78" s="104"/>
      <c r="I78" s="41"/>
      <c r="J78" s="42"/>
      <c r="K78" s="4"/>
      <c r="L78" s="4"/>
      <c r="M78" s="4"/>
      <c r="N78" s="104"/>
      <c r="O78" s="41"/>
      <c r="P78" s="42"/>
      <c r="Q78" s="4"/>
      <c r="R78" s="4"/>
      <c r="S78" s="4"/>
      <c r="T78" s="104"/>
      <c r="U78" s="41"/>
      <c r="V78" s="42"/>
      <c r="W78" s="41"/>
      <c r="X78" s="42"/>
      <c r="Y78" s="4"/>
      <c r="Z78" s="40"/>
      <c r="AA78" s="41"/>
      <c r="AB78" s="42"/>
      <c r="AC78" s="4"/>
      <c r="AD78" s="4"/>
      <c r="AE78" s="4"/>
      <c r="AF78" s="40"/>
      <c r="AG78" s="41"/>
      <c r="AH78" s="42"/>
      <c r="AI78" s="4"/>
      <c r="AJ78" s="4"/>
      <c r="AK78" s="4"/>
      <c r="AL78" s="40"/>
      <c r="AM78" s="41"/>
      <c r="AN78" s="42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>
      <c r="A79" s="4"/>
      <c r="B79" s="105"/>
      <c r="C79" s="44"/>
      <c r="D79" s="42"/>
      <c r="E79" s="4"/>
      <c r="F79" s="4"/>
      <c r="G79" s="4"/>
      <c r="H79" s="105"/>
      <c r="I79" s="44"/>
      <c r="J79" s="42"/>
      <c r="K79" s="4"/>
      <c r="L79" s="4"/>
      <c r="M79" s="4"/>
      <c r="N79" s="105"/>
      <c r="O79" s="44"/>
      <c r="P79" s="42"/>
      <c r="Q79" s="4"/>
      <c r="R79" s="4"/>
      <c r="S79" s="4"/>
      <c r="T79" s="105"/>
      <c r="U79" s="44"/>
      <c r="V79" s="42"/>
      <c r="W79" s="44"/>
      <c r="X79" s="42"/>
      <c r="Y79" s="4"/>
      <c r="Z79" s="15"/>
      <c r="AA79" s="44"/>
      <c r="AB79" s="42"/>
      <c r="AC79" s="4"/>
      <c r="AD79" s="4"/>
      <c r="AE79" s="4"/>
      <c r="AF79" s="15"/>
      <c r="AG79" s="44"/>
      <c r="AH79" s="42"/>
      <c r="AI79" s="4"/>
      <c r="AJ79" s="4"/>
      <c r="AK79" s="4"/>
      <c r="AL79" s="15"/>
      <c r="AM79" s="44"/>
      <c r="AN79" s="42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>
      <c r="A81" s="4"/>
      <c r="B81" s="100"/>
      <c r="C81" s="101"/>
      <c r="G81" s="4"/>
      <c r="H81" s="13"/>
      <c r="I81" s="86"/>
      <c r="M81" s="4"/>
      <c r="N81" s="13"/>
      <c r="O81" s="16"/>
      <c r="S81" s="4"/>
      <c r="T81" s="100"/>
      <c r="U81" s="102"/>
      <c r="Y81" s="4"/>
      <c r="Z81" s="13"/>
      <c r="AA81" s="16"/>
      <c r="AE81" s="4"/>
      <c r="AF81" s="13"/>
      <c r="AG81" s="16"/>
      <c r="AK81" s="4"/>
      <c r="AL81" s="13"/>
      <c r="AM81" s="16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>
      <c r="A82" s="4"/>
      <c r="B82" s="17"/>
      <c r="C82" s="17"/>
      <c r="D82" s="17"/>
      <c r="E82" s="18"/>
      <c r="F82" s="17"/>
      <c r="G82" s="4"/>
      <c r="H82" s="17"/>
      <c r="I82" s="17"/>
      <c r="J82" s="17"/>
      <c r="K82" s="18"/>
      <c r="L82" s="17"/>
      <c r="M82" s="4"/>
      <c r="N82" s="17"/>
      <c r="O82" s="17"/>
      <c r="P82" s="17"/>
      <c r="Q82" s="18"/>
      <c r="R82" s="17"/>
      <c r="S82" s="4"/>
      <c r="T82" s="17"/>
      <c r="U82" s="17"/>
      <c r="V82" s="17"/>
      <c r="W82" s="18"/>
      <c r="X82" s="17"/>
      <c r="Y82" s="4"/>
      <c r="Z82" s="17"/>
      <c r="AA82" s="17"/>
      <c r="AB82" s="17"/>
      <c r="AC82" s="18"/>
      <c r="AD82" s="17"/>
      <c r="AE82" s="4"/>
      <c r="AF82" s="17"/>
      <c r="AG82" s="17"/>
      <c r="AH82" s="17"/>
      <c r="AI82" s="18"/>
      <c r="AJ82" s="17"/>
      <c r="AK82" s="4"/>
      <c r="AL82" s="17"/>
      <c r="AM82" s="17"/>
      <c r="AN82" s="17"/>
      <c r="AO82" s="18"/>
      <c r="AP82" s="17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>
      <c r="A83" s="4"/>
      <c r="B83" s="32"/>
      <c r="C83" s="33"/>
      <c r="D83" s="32"/>
      <c r="E83" s="33"/>
      <c r="F83" s="32"/>
      <c r="G83" s="4"/>
      <c r="H83" s="32"/>
      <c r="I83" s="33"/>
      <c r="J83" s="32"/>
      <c r="K83" s="33"/>
      <c r="L83" s="32"/>
      <c r="M83" s="4"/>
      <c r="N83" s="32"/>
      <c r="O83" s="33"/>
      <c r="P83" s="32"/>
      <c r="Q83" s="33"/>
      <c r="R83" s="32"/>
      <c r="S83" s="4"/>
      <c r="T83" s="32"/>
      <c r="U83" s="33"/>
      <c r="V83" s="32"/>
      <c r="W83" s="33"/>
      <c r="X83" s="32"/>
      <c r="Y83" s="4"/>
      <c r="Z83" s="32"/>
      <c r="AA83" s="33"/>
      <c r="AB83" s="32"/>
      <c r="AC83" s="33"/>
      <c r="AD83" s="32"/>
      <c r="AE83" s="4"/>
      <c r="AF83" s="32"/>
      <c r="AG83" s="33"/>
      <c r="AH83" s="32"/>
      <c r="AI83" s="33"/>
      <c r="AJ83" s="32"/>
      <c r="AK83" s="4"/>
      <c r="AL83" s="32"/>
      <c r="AM83" s="33"/>
      <c r="AN83" s="32"/>
      <c r="AO83" s="33"/>
      <c r="AP83" s="32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>
      <c r="A84" s="4"/>
      <c r="B84" s="32"/>
      <c r="C84" s="33"/>
      <c r="D84" s="32"/>
      <c r="E84" s="33"/>
      <c r="F84" s="32"/>
      <c r="G84" s="4"/>
      <c r="H84" s="32"/>
      <c r="I84" s="33"/>
      <c r="J84" s="32"/>
      <c r="K84" s="33"/>
      <c r="L84" s="32"/>
      <c r="M84" s="4"/>
      <c r="N84" s="32"/>
      <c r="O84" s="33"/>
      <c r="P84" s="32"/>
      <c r="Q84" s="33"/>
      <c r="R84" s="32"/>
      <c r="S84" s="4"/>
      <c r="T84" s="32"/>
      <c r="U84" s="33"/>
      <c r="V84" s="32"/>
      <c r="W84" s="33"/>
      <c r="X84" s="32"/>
      <c r="Y84" s="4"/>
      <c r="Z84" s="32"/>
      <c r="AA84" s="33"/>
      <c r="AB84" s="32"/>
      <c r="AC84" s="33"/>
      <c r="AD84" s="32"/>
      <c r="AE84" s="4"/>
      <c r="AF84" s="32"/>
      <c r="AG84" s="33"/>
      <c r="AH84" s="32"/>
      <c r="AI84" s="33"/>
      <c r="AJ84" s="32"/>
      <c r="AK84" s="4"/>
      <c r="AL84" s="32"/>
      <c r="AM84" s="33"/>
      <c r="AN84" s="32"/>
      <c r="AO84" s="33"/>
      <c r="AP84" s="32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>
      <c r="A85" s="4"/>
      <c r="B85" s="32"/>
      <c r="C85" s="33"/>
      <c r="D85" s="32"/>
      <c r="E85" s="33"/>
      <c r="F85" s="32"/>
      <c r="G85" s="4"/>
      <c r="H85" s="32"/>
      <c r="I85" s="33"/>
      <c r="J85" s="32"/>
      <c r="K85" s="33"/>
      <c r="L85" s="32"/>
      <c r="M85" s="4"/>
      <c r="N85" s="32"/>
      <c r="O85" s="33"/>
      <c r="P85" s="32"/>
      <c r="Q85" s="33"/>
      <c r="R85" s="32"/>
      <c r="S85" s="4"/>
      <c r="T85" s="4"/>
      <c r="U85" s="4"/>
      <c r="V85" s="32"/>
      <c r="W85" s="4"/>
      <c r="X85" s="32"/>
      <c r="Y85" s="4"/>
      <c r="Z85" s="32"/>
      <c r="AA85" s="33"/>
      <c r="AB85" s="32"/>
      <c r="AC85" s="33"/>
      <c r="AD85" s="32"/>
      <c r="AE85" s="4"/>
      <c r="AF85" s="4"/>
      <c r="AG85" s="4"/>
      <c r="AH85" s="32"/>
      <c r="AI85" s="33"/>
      <c r="AJ85" s="32"/>
      <c r="AK85" s="4"/>
      <c r="AL85" s="32"/>
      <c r="AM85" s="33"/>
      <c r="AN85" s="32"/>
      <c r="AO85" s="33"/>
      <c r="AP85" s="32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>
      <c r="A86" s="4"/>
      <c r="B86" s="32"/>
      <c r="C86" s="33"/>
      <c r="D86" s="32"/>
      <c r="E86" s="33"/>
      <c r="F86" s="32"/>
      <c r="G86" s="4"/>
      <c r="H86" s="32"/>
      <c r="I86" s="33"/>
      <c r="J86" s="32"/>
      <c r="K86" s="33"/>
      <c r="L86" s="32"/>
      <c r="M86" s="4"/>
      <c r="N86" s="32"/>
      <c r="O86" s="33"/>
      <c r="P86" s="32"/>
      <c r="Q86" s="33"/>
      <c r="R86" s="32"/>
      <c r="S86" s="4"/>
      <c r="T86" s="4"/>
      <c r="U86" s="4"/>
      <c r="V86" s="32"/>
      <c r="W86" s="4"/>
      <c r="X86" s="32"/>
      <c r="Y86" s="4"/>
      <c r="Z86" s="32"/>
      <c r="AA86" s="33"/>
      <c r="AB86" s="32"/>
      <c r="AC86" s="33"/>
      <c r="AD86" s="32"/>
      <c r="AE86" s="4"/>
      <c r="AF86" s="4"/>
      <c r="AG86" s="4"/>
      <c r="AH86" s="32"/>
      <c r="AI86" s="33"/>
      <c r="AJ86" s="32"/>
      <c r="AK86" s="4"/>
      <c r="AL86" s="4"/>
      <c r="AM86" s="4"/>
      <c r="AN86" s="32"/>
      <c r="AO86" s="33"/>
      <c r="AP86" s="32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>
      <c r="A87" s="4"/>
      <c r="B87" s="4"/>
      <c r="C87" s="4"/>
      <c r="D87" s="4"/>
      <c r="E87" s="4"/>
      <c r="F87" s="4"/>
      <c r="G87" s="4"/>
      <c r="H87" s="32"/>
      <c r="I87" s="33"/>
      <c r="J87" s="32"/>
      <c r="K87" s="33"/>
      <c r="L87" s="32"/>
      <c r="M87" s="4"/>
      <c r="N87" s="32"/>
      <c r="O87" s="33"/>
      <c r="P87" s="32"/>
      <c r="Q87" s="33"/>
      <c r="R87" s="32"/>
      <c r="S87" s="4"/>
      <c r="T87" s="4"/>
      <c r="U87" s="4"/>
      <c r="V87" s="32"/>
      <c r="W87" s="4"/>
      <c r="X87" s="32"/>
      <c r="Y87" s="4"/>
      <c r="Z87" s="32"/>
      <c r="AA87" s="33"/>
      <c r="AB87" s="32"/>
      <c r="AC87" s="33"/>
      <c r="AD87" s="32"/>
      <c r="AE87" s="4"/>
      <c r="AF87" s="32"/>
      <c r="AG87" s="33"/>
      <c r="AH87" s="32"/>
      <c r="AI87" s="33"/>
      <c r="AJ87" s="32"/>
      <c r="AK87" s="4"/>
      <c r="AL87" s="32"/>
      <c r="AM87" s="33"/>
      <c r="AN87" s="32"/>
      <c r="AO87" s="33"/>
      <c r="AP87" s="32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32"/>
      <c r="U88" s="33"/>
      <c r="V88" s="32"/>
      <c r="W88" s="62"/>
      <c r="X88" s="32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32"/>
      <c r="U89" s="33"/>
      <c r="V89" s="32"/>
      <c r="W89" s="33"/>
      <c r="X89" s="32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32"/>
      <c r="U90" s="33"/>
      <c r="V90" s="32"/>
      <c r="W90" s="33"/>
      <c r="X90" s="32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>
      <c r="A93" s="4"/>
      <c r="B93" s="13"/>
      <c r="C93" s="8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>
      <c r="A94" s="4"/>
      <c r="B94" s="4"/>
      <c r="C94" s="7"/>
      <c r="D94" s="7"/>
      <c r="E94" s="7"/>
      <c r="F94" s="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>
      <c r="A95" s="4"/>
      <c r="B95" s="27"/>
      <c r="C95" s="28"/>
      <c r="D95" s="29"/>
      <c r="E95" s="30"/>
      <c r="F95" s="3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>
      <c r="A96" s="4"/>
      <c r="B96" s="4"/>
      <c r="C96" s="7"/>
      <c r="D96" s="7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>
      <c r="A97" s="4"/>
      <c r="B97" s="40"/>
      <c r="C97" s="41"/>
      <c r="D97" s="4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>
      <c r="A98" s="4"/>
      <c r="B98" s="15"/>
      <c r="C98" s="44"/>
      <c r="D98" s="4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>
      <c r="A100" s="4"/>
      <c r="B100" s="13"/>
      <c r="C100" s="8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>
      <c r="A101" s="4"/>
      <c r="B101" s="17"/>
      <c r="C101" s="17"/>
      <c r="D101" s="17"/>
      <c r="E101" s="18"/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>
      <c r="A102" s="4"/>
      <c r="B102" s="32"/>
      <c r="C102" s="33"/>
      <c r="D102" s="32"/>
      <c r="E102" s="33"/>
      <c r="F102" s="3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>
      <c r="A103" s="4"/>
      <c r="B103" s="32"/>
      <c r="C103" s="33"/>
      <c r="D103" s="32"/>
      <c r="E103" s="33"/>
      <c r="F103" s="3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>
      <c r="A104" s="4"/>
      <c r="B104" s="32"/>
      <c r="C104" s="33"/>
      <c r="D104" s="32"/>
      <c r="E104" s="33"/>
      <c r="F104" s="3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>
      <c r="A105" s="4"/>
      <c r="B105" s="32"/>
      <c r="C105" s="33"/>
      <c r="D105" s="32"/>
      <c r="E105" s="33"/>
      <c r="F105" s="3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  <c r="AA1001" s="106"/>
      <c r="AB1001" s="106"/>
      <c r="AC1001" s="106"/>
      <c r="AD1001" s="106"/>
      <c r="AE1001" s="106"/>
      <c r="AF1001" s="106"/>
      <c r="AG1001" s="106"/>
      <c r="AH1001" s="106"/>
      <c r="AI1001" s="106"/>
      <c r="AJ1001" s="106"/>
      <c r="AK1001" s="106"/>
      <c r="AL1001" s="106"/>
      <c r="AM1001" s="106"/>
      <c r="AN1001" s="106"/>
      <c r="AO1001" s="106"/>
      <c r="AP1001" s="106"/>
      <c r="AQ1001" s="106"/>
      <c r="AR1001" s="106"/>
      <c r="AS1001" s="106"/>
      <c r="AT1001" s="106"/>
      <c r="AU1001" s="106"/>
      <c r="AV1001" s="106"/>
      <c r="AW1001" s="106"/>
      <c r="AX1001" s="106"/>
      <c r="AY1001" s="106"/>
      <c r="AZ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  <c r="AA1002" s="106"/>
      <c r="AB1002" s="106"/>
      <c r="AC1002" s="106"/>
      <c r="AD1002" s="106"/>
      <c r="AE1002" s="106"/>
      <c r="AF1002" s="106"/>
      <c r="AG1002" s="106"/>
      <c r="AH1002" s="106"/>
      <c r="AI1002" s="106"/>
      <c r="AJ1002" s="106"/>
      <c r="AK1002" s="106"/>
      <c r="AL1002" s="106"/>
      <c r="AM1002" s="106"/>
      <c r="AN1002" s="106"/>
      <c r="AO1002" s="106"/>
      <c r="AP1002" s="106"/>
      <c r="AQ1002" s="106"/>
      <c r="AR1002" s="106"/>
      <c r="AS1002" s="106"/>
      <c r="AT1002" s="106"/>
      <c r="AU1002" s="106"/>
      <c r="AV1002" s="106"/>
      <c r="AW1002" s="106"/>
      <c r="AX1002" s="106"/>
      <c r="AY1002" s="106"/>
      <c r="AZ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  <c r="AA1003" s="106"/>
      <c r="AB1003" s="106"/>
      <c r="AC1003" s="106"/>
      <c r="AD1003" s="106"/>
      <c r="AE1003" s="106"/>
      <c r="AF1003" s="106"/>
      <c r="AG1003" s="106"/>
      <c r="AH1003" s="106"/>
      <c r="AI1003" s="106"/>
      <c r="AJ1003" s="106"/>
      <c r="AK1003" s="106"/>
      <c r="AL1003" s="106"/>
      <c r="AM1003" s="106"/>
      <c r="AN1003" s="106"/>
      <c r="AO1003" s="106"/>
      <c r="AP1003" s="106"/>
      <c r="AQ1003" s="106"/>
      <c r="AR1003" s="106"/>
      <c r="AS1003" s="106"/>
      <c r="AT1003" s="106"/>
      <c r="AU1003" s="106"/>
      <c r="AV1003" s="106"/>
      <c r="AW1003" s="106"/>
      <c r="AX1003" s="106"/>
      <c r="AY1003" s="106"/>
      <c r="AZ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  <c r="AA1004" s="106"/>
      <c r="AB1004" s="106"/>
      <c r="AC1004" s="106"/>
      <c r="AD1004" s="106"/>
      <c r="AE1004" s="106"/>
      <c r="AF1004" s="106"/>
      <c r="AG1004" s="106"/>
      <c r="AH1004" s="106"/>
      <c r="AI1004" s="106"/>
      <c r="AJ1004" s="106"/>
      <c r="AK1004" s="106"/>
      <c r="AL1004" s="106"/>
      <c r="AM1004" s="106"/>
      <c r="AN1004" s="106"/>
      <c r="AO1004" s="106"/>
      <c r="AP1004" s="106"/>
      <c r="AQ1004" s="106"/>
      <c r="AR1004" s="106"/>
      <c r="AS1004" s="106"/>
      <c r="AT1004" s="106"/>
      <c r="AU1004" s="106"/>
      <c r="AV1004" s="106"/>
      <c r="AW1004" s="106"/>
      <c r="AX1004" s="106"/>
      <c r="AY1004" s="106"/>
      <c r="AZ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  <c r="AA1005" s="106"/>
      <c r="AB1005" s="106"/>
      <c r="AC1005" s="106"/>
      <c r="AD1005" s="106"/>
      <c r="AE1005" s="106"/>
      <c r="AF1005" s="106"/>
      <c r="AG1005" s="106"/>
      <c r="AH1005" s="106"/>
      <c r="AI1005" s="106"/>
      <c r="AJ1005" s="106"/>
      <c r="AK1005" s="106"/>
      <c r="AL1005" s="106"/>
      <c r="AM1005" s="106"/>
      <c r="AN1005" s="106"/>
      <c r="AO1005" s="106"/>
      <c r="AP1005" s="106"/>
      <c r="AQ1005" s="106"/>
      <c r="AR1005" s="106"/>
      <c r="AS1005" s="106"/>
      <c r="AT1005" s="106"/>
      <c r="AU1005" s="106"/>
      <c r="AV1005" s="106"/>
      <c r="AW1005" s="106"/>
      <c r="AX1005" s="106"/>
      <c r="AY1005" s="106"/>
      <c r="AZ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  <c r="AA1006" s="106"/>
      <c r="AB1006" s="106"/>
      <c r="AC1006" s="106"/>
      <c r="AD1006" s="106"/>
      <c r="AE1006" s="106"/>
      <c r="AF1006" s="106"/>
      <c r="AG1006" s="106"/>
      <c r="AH1006" s="106"/>
      <c r="AI1006" s="106"/>
      <c r="AJ1006" s="106"/>
      <c r="AK1006" s="106"/>
      <c r="AL1006" s="106"/>
      <c r="AM1006" s="106"/>
      <c r="AN1006" s="106"/>
      <c r="AO1006" s="106"/>
      <c r="AP1006" s="106"/>
      <c r="AQ1006" s="106"/>
      <c r="AR1006" s="106"/>
      <c r="AS1006" s="106"/>
      <c r="AT1006" s="106"/>
      <c r="AU1006" s="106"/>
      <c r="AV1006" s="106"/>
      <c r="AW1006" s="106"/>
      <c r="AX1006" s="106"/>
      <c r="AY1006" s="106"/>
      <c r="AZ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  <c r="AA1007" s="106"/>
      <c r="AB1007" s="106"/>
      <c r="AC1007" s="106"/>
      <c r="AD1007" s="106"/>
      <c r="AE1007" s="106"/>
      <c r="AF1007" s="106"/>
      <c r="AG1007" s="106"/>
      <c r="AH1007" s="106"/>
      <c r="AI1007" s="106"/>
      <c r="AJ1007" s="106"/>
      <c r="AK1007" s="106"/>
      <c r="AL1007" s="106"/>
      <c r="AM1007" s="106"/>
      <c r="AN1007" s="106"/>
      <c r="AO1007" s="106"/>
      <c r="AP1007" s="106"/>
      <c r="AQ1007" s="106"/>
      <c r="AR1007" s="106"/>
      <c r="AS1007" s="106"/>
      <c r="AT1007" s="106"/>
      <c r="AU1007" s="106"/>
      <c r="AV1007" s="106"/>
      <c r="AW1007" s="106"/>
      <c r="AX1007" s="106"/>
      <c r="AY1007" s="106"/>
      <c r="AZ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  <c r="AA1008" s="106"/>
      <c r="AB1008" s="106"/>
      <c r="AC1008" s="106"/>
      <c r="AD1008" s="106"/>
      <c r="AE1008" s="106"/>
      <c r="AF1008" s="106"/>
      <c r="AG1008" s="106"/>
      <c r="AH1008" s="106"/>
      <c r="AI1008" s="106"/>
      <c r="AJ1008" s="106"/>
      <c r="AK1008" s="106"/>
      <c r="AL1008" s="106"/>
      <c r="AM1008" s="106"/>
      <c r="AN1008" s="106"/>
      <c r="AO1008" s="106"/>
      <c r="AP1008" s="106"/>
      <c r="AQ1008" s="106"/>
      <c r="AR1008" s="106"/>
      <c r="AS1008" s="106"/>
      <c r="AT1008" s="106"/>
      <c r="AU1008" s="106"/>
      <c r="AV1008" s="106"/>
      <c r="AW1008" s="106"/>
      <c r="AX1008" s="106"/>
      <c r="AY1008" s="106"/>
      <c r="AZ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  <c r="AA1009" s="106"/>
      <c r="AB1009" s="106"/>
      <c r="AC1009" s="106"/>
      <c r="AD1009" s="106"/>
      <c r="AE1009" s="106"/>
      <c r="AF1009" s="106"/>
      <c r="AG1009" s="106"/>
      <c r="AH1009" s="106"/>
      <c r="AI1009" s="106"/>
      <c r="AJ1009" s="106"/>
      <c r="AK1009" s="106"/>
      <c r="AL1009" s="106"/>
      <c r="AM1009" s="106"/>
      <c r="AN1009" s="106"/>
      <c r="AO1009" s="106"/>
      <c r="AP1009" s="106"/>
      <c r="AQ1009" s="106"/>
      <c r="AR1009" s="106"/>
      <c r="AS1009" s="106"/>
      <c r="AT1009" s="106"/>
      <c r="AU1009" s="106"/>
      <c r="AV1009" s="106"/>
      <c r="AW1009" s="106"/>
      <c r="AX1009" s="106"/>
      <c r="AY1009" s="106"/>
      <c r="AZ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  <c r="AA1010" s="106"/>
      <c r="AB1010" s="106"/>
      <c r="AC1010" s="106"/>
      <c r="AD1010" s="106"/>
      <c r="AE1010" s="106"/>
      <c r="AF1010" s="106"/>
      <c r="AG1010" s="106"/>
      <c r="AH1010" s="106"/>
      <c r="AI1010" s="106"/>
      <c r="AJ1010" s="106"/>
      <c r="AK1010" s="106"/>
      <c r="AL1010" s="106"/>
      <c r="AM1010" s="106"/>
      <c r="AN1010" s="106"/>
      <c r="AO1010" s="106"/>
      <c r="AP1010" s="106"/>
      <c r="AQ1010" s="106"/>
      <c r="AR1010" s="106"/>
      <c r="AS1010" s="106"/>
      <c r="AT1010" s="106"/>
      <c r="AU1010" s="106"/>
      <c r="AV1010" s="106"/>
      <c r="AW1010" s="106"/>
      <c r="AX1010" s="106"/>
      <c r="AY1010" s="106"/>
      <c r="AZ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  <c r="Y1011" s="106"/>
      <c r="Z1011" s="106"/>
      <c r="AA1011" s="106"/>
      <c r="AB1011" s="106"/>
      <c r="AC1011" s="106"/>
      <c r="AD1011" s="106"/>
      <c r="AE1011" s="106"/>
      <c r="AF1011" s="106"/>
      <c r="AG1011" s="106"/>
      <c r="AH1011" s="106"/>
      <c r="AI1011" s="106"/>
      <c r="AJ1011" s="106"/>
      <c r="AK1011" s="106"/>
      <c r="AL1011" s="106"/>
      <c r="AM1011" s="106"/>
      <c r="AN1011" s="106"/>
      <c r="AO1011" s="106"/>
      <c r="AP1011" s="106"/>
      <c r="AQ1011" s="106"/>
      <c r="AR1011" s="106"/>
      <c r="AS1011" s="106"/>
      <c r="AT1011" s="106"/>
      <c r="AU1011" s="106"/>
      <c r="AV1011" s="106"/>
      <c r="AW1011" s="106"/>
      <c r="AX1011" s="106"/>
      <c r="AY1011" s="106"/>
      <c r="AZ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  <c r="Y1012" s="106"/>
      <c r="Z1012" s="106"/>
      <c r="AA1012" s="106"/>
      <c r="AB1012" s="106"/>
      <c r="AC1012" s="106"/>
      <c r="AD1012" s="106"/>
      <c r="AE1012" s="106"/>
      <c r="AF1012" s="106"/>
      <c r="AG1012" s="106"/>
      <c r="AH1012" s="106"/>
      <c r="AI1012" s="106"/>
      <c r="AJ1012" s="106"/>
      <c r="AK1012" s="106"/>
      <c r="AL1012" s="106"/>
      <c r="AM1012" s="106"/>
      <c r="AN1012" s="106"/>
      <c r="AO1012" s="106"/>
      <c r="AP1012" s="106"/>
      <c r="AQ1012" s="106"/>
      <c r="AR1012" s="106"/>
      <c r="AS1012" s="106"/>
      <c r="AT1012" s="106"/>
      <c r="AU1012" s="106"/>
      <c r="AV1012" s="106"/>
      <c r="AW1012" s="106"/>
      <c r="AX1012" s="106"/>
      <c r="AY1012" s="106"/>
      <c r="AZ1012" s="106"/>
    </row>
    <row r="1013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106"/>
      <c r="AE1013" s="106"/>
      <c r="AF1013" s="106"/>
      <c r="AG1013" s="106"/>
      <c r="AH1013" s="106"/>
      <c r="AI1013" s="106"/>
      <c r="AJ1013" s="106"/>
      <c r="AK1013" s="106"/>
      <c r="AL1013" s="106"/>
      <c r="AM1013" s="106"/>
      <c r="AN1013" s="106"/>
      <c r="AO1013" s="106"/>
      <c r="AP1013" s="106"/>
      <c r="AQ1013" s="106"/>
      <c r="AR1013" s="106"/>
      <c r="AS1013" s="106"/>
      <c r="AT1013" s="106"/>
      <c r="AU1013" s="106"/>
      <c r="AV1013" s="106"/>
      <c r="AW1013" s="106"/>
      <c r="AX1013" s="106"/>
      <c r="AY1013" s="106"/>
      <c r="AZ1013" s="106"/>
    </row>
    <row r="1014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6"/>
      <c r="Y1014" s="106"/>
      <c r="Z1014" s="106"/>
      <c r="AA1014" s="106"/>
      <c r="AB1014" s="106"/>
      <c r="AC1014" s="106"/>
      <c r="AD1014" s="106"/>
      <c r="AE1014" s="106"/>
      <c r="AF1014" s="106"/>
      <c r="AG1014" s="106"/>
      <c r="AH1014" s="106"/>
      <c r="AI1014" s="106"/>
      <c r="AJ1014" s="106"/>
      <c r="AK1014" s="106"/>
      <c r="AL1014" s="106"/>
      <c r="AM1014" s="106"/>
      <c r="AN1014" s="106"/>
      <c r="AO1014" s="106"/>
      <c r="AP1014" s="106"/>
      <c r="AQ1014" s="106"/>
      <c r="AR1014" s="106"/>
      <c r="AS1014" s="106"/>
      <c r="AT1014" s="106"/>
      <c r="AU1014" s="106"/>
      <c r="AV1014" s="106"/>
      <c r="AW1014" s="106"/>
      <c r="AX1014" s="106"/>
      <c r="AY1014" s="106"/>
      <c r="AZ1014" s="106"/>
    </row>
    <row r="101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6"/>
      <c r="Y1015" s="106"/>
      <c r="Z1015" s="106"/>
      <c r="AA1015" s="106"/>
      <c r="AB1015" s="106"/>
      <c r="AC1015" s="106"/>
      <c r="AD1015" s="106"/>
      <c r="AE1015" s="106"/>
      <c r="AF1015" s="106"/>
      <c r="AG1015" s="106"/>
      <c r="AH1015" s="106"/>
      <c r="AI1015" s="106"/>
      <c r="AJ1015" s="106"/>
      <c r="AK1015" s="106"/>
      <c r="AL1015" s="106"/>
      <c r="AM1015" s="106"/>
      <c r="AN1015" s="106"/>
      <c r="AO1015" s="106"/>
      <c r="AP1015" s="106"/>
      <c r="AQ1015" s="106"/>
      <c r="AR1015" s="106"/>
      <c r="AS1015" s="106"/>
      <c r="AT1015" s="106"/>
      <c r="AU1015" s="106"/>
      <c r="AV1015" s="106"/>
      <c r="AW1015" s="106"/>
      <c r="AX1015" s="106"/>
      <c r="AY1015" s="106"/>
      <c r="AZ1015" s="106"/>
    </row>
    <row r="1016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6"/>
      <c r="Y1016" s="106"/>
      <c r="Z1016" s="106"/>
      <c r="AA1016" s="106"/>
      <c r="AB1016" s="106"/>
      <c r="AC1016" s="106"/>
      <c r="AD1016" s="106"/>
      <c r="AE1016" s="106"/>
      <c r="AF1016" s="106"/>
      <c r="AG1016" s="106"/>
      <c r="AH1016" s="106"/>
      <c r="AI1016" s="106"/>
      <c r="AJ1016" s="106"/>
      <c r="AK1016" s="106"/>
      <c r="AL1016" s="106"/>
      <c r="AM1016" s="106"/>
      <c r="AN1016" s="106"/>
      <c r="AO1016" s="106"/>
      <c r="AP1016" s="106"/>
      <c r="AQ1016" s="106"/>
      <c r="AR1016" s="106"/>
      <c r="AS1016" s="106"/>
      <c r="AT1016" s="106"/>
      <c r="AU1016" s="106"/>
      <c r="AV1016" s="106"/>
      <c r="AW1016" s="106"/>
      <c r="AX1016" s="106"/>
      <c r="AY1016" s="106"/>
      <c r="AZ1016" s="106"/>
    </row>
    <row r="1017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6"/>
      <c r="Y1017" s="106"/>
      <c r="Z1017" s="106"/>
      <c r="AA1017" s="106"/>
      <c r="AB1017" s="106"/>
      <c r="AC1017" s="106"/>
      <c r="AD1017" s="106"/>
      <c r="AE1017" s="106"/>
      <c r="AF1017" s="106"/>
      <c r="AG1017" s="106"/>
      <c r="AH1017" s="106"/>
      <c r="AI1017" s="106"/>
      <c r="AJ1017" s="106"/>
      <c r="AK1017" s="106"/>
      <c r="AL1017" s="106"/>
      <c r="AM1017" s="106"/>
      <c r="AN1017" s="106"/>
      <c r="AO1017" s="106"/>
      <c r="AP1017" s="106"/>
      <c r="AQ1017" s="106"/>
      <c r="AR1017" s="106"/>
      <c r="AS1017" s="106"/>
      <c r="AT1017" s="106"/>
      <c r="AU1017" s="106"/>
      <c r="AV1017" s="106"/>
      <c r="AW1017" s="106"/>
      <c r="AX1017" s="106"/>
      <c r="AY1017" s="106"/>
      <c r="AZ1017" s="106"/>
    </row>
    <row r="1018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106"/>
      <c r="AE1018" s="106"/>
      <c r="AF1018" s="106"/>
      <c r="AG1018" s="106"/>
      <c r="AH1018" s="106"/>
      <c r="AI1018" s="106"/>
      <c r="AJ1018" s="106"/>
      <c r="AK1018" s="106"/>
      <c r="AL1018" s="106"/>
      <c r="AM1018" s="106"/>
      <c r="AN1018" s="106"/>
      <c r="AO1018" s="106"/>
      <c r="AP1018" s="106"/>
      <c r="AQ1018" s="106"/>
      <c r="AR1018" s="106"/>
      <c r="AS1018" s="106"/>
      <c r="AT1018" s="106"/>
      <c r="AU1018" s="106"/>
      <c r="AV1018" s="106"/>
      <c r="AW1018" s="106"/>
      <c r="AX1018" s="106"/>
      <c r="AY1018" s="106"/>
      <c r="AZ1018" s="106"/>
    </row>
    <row r="1019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6"/>
      <c r="Y1019" s="106"/>
      <c r="Z1019" s="106"/>
      <c r="AA1019" s="106"/>
      <c r="AB1019" s="106"/>
      <c r="AC1019" s="106"/>
      <c r="AD1019" s="106"/>
      <c r="AE1019" s="106"/>
      <c r="AF1019" s="106"/>
      <c r="AG1019" s="106"/>
      <c r="AH1019" s="106"/>
      <c r="AI1019" s="106"/>
      <c r="AJ1019" s="106"/>
      <c r="AK1019" s="106"/>
      <c r="AL1019" s="106"/>
      <c r="AM1019" s="106"/>
      <c r="AN1019" s="106"/>
      <c r="AO1019" s="106"/>
      <c r="AP1019" s="106"/>
      <c r="AQ1019" s="106"/>
      <c r="AR1019" s="106"/>
      <c r="AS1019" s="106"/>
      <c r="AT1019" s="106"/>
      <c r="AU1019" s="106"/>
      <c r="AV1019" s="106"/>
      <c r="AW1019" s="106"/>
      <c r="AX1019" s="106"/>
      <c r="AY1019" s="106"/>
      <c r="AZ1019" s="106"/>
    </row>
    <row r="1020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6"/>
      <c r="Y1020" s="106"/>
      <c r="Z1020" s="106"/>
      <c r="AA1020" s="106"/>
      <c r="AB1020" s="106"/>
      <c r="AC1020" s="106"/>
      <c r="AD1020" s="106"/>
      <c r="AE1020" s="106"/>
      <c r="AF1020" s="106"/>
      <c r="AG1020" s="106"/>
      <c r="AH1020" s="106"/>
      <c r="AI1020" s="106"/>
      <c r="AJ1020" s="106"/>
      <c r="AK1020" s="106"/>
      <c r="AL1020" s="106"/>
      <c r="AM1020" s="106"/>
      <c r="AN1020" s="106"/>
      <c r="AO1020" s="106"/>
      <c r="AP1020" s="106"/>
      <c r="AQ1020" s="106"/>
      <c r="AR1020" s="106"/>
      <c r="AS1020" s="106"/>
      <c r="AT1020" s="106"/>
      <c r="AU1020" s="106"/>
      <c r="AV1020" s="106"/>
      <c r="AW1020" s="106"/>
      <c r="AX1020" s="106"/>
      <c r="AY1020" s="106"/>
      <c r="AZ1020" s="106"/>
    </row>
    <row r="1021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6"/>
      <c r="Y1021" s="106"/>
      <c r="Z1021" s="106"/>
      <c r="AA1021" s="106"/>
      <c r="AB1021" s="106"/>
      <c r="AC1021" s="106"/>
      <c r="AD1021" s="106"/>
      <c r="AE1021" s="106"/>
      <c r="AF1021" s="106"/>
      <c r="AG1021" s="106"/>
      <c r="AH1021" s="106"/>
      <c r="AI1021" s="106"/>
      <c r="AJ1021" s="106"/>
      <c r="AK1021" s="106"/>
      <c r="AL1021" s="106"/>
      <c r="AM1021" s="106"/>
      <c r="AN1021" s="106"/>
      <c r="AO1021" s="106"/>
      <c r="AP1021" s="106"/>
      <c r="AQ1021" s="106"/>
      <c r="AR1021" s="106"/>
      <c r="AS1021" s="106"/>
      <c r="AT1021" s="106"/>
      <c r="AU1021" s="106"/>
      <c r="AV1021" s="106"/>
      <c r="AW1021" s="106"/>
      <c r="AX1021" s="106"/>
      <c r="AY1021" s="106"/>
      <c r="AZ1021" s="106"/>
    </row>
  </sheetData>
  <mergeCells count="65">
    <mergeCell ref="I53:K53"/>
    <mergeCell ref="I57:L63"/>
    <mergeCell ref="O57:R63"/>
    <mergeCell ref="V57:Y63"/>
    <mergeCell ref="B47:D47"/>
    <mergeCell ref="B48:D48"/>
    <mergeCell ref="B50:D50"/>
    <mergeCell ref="F50:H50"/>
    <mergeCell ref="I50:K50"/>
    <mergeCell ref="B51:D51"/>
    <mergeCell ref="B57:E63"/>
    <mergeCell ref="I74:L74"/>
    <mergeCell ref="O74:R74"/>
    <mergeCell ref="U74:X74"/>
    <mergeCell ref="AA74:AD74"/>
    <mergeCell ref="AG74:AJ74"/>
    <mergeCell ref="AM74:AP74"/>
    <mergeCell ref="W77:X77"/>
    <mergeCell ref="C74:F74"/>
    <mergeCell ref="I81:L81"/>
    <mergeCell ref="O81:R81"/>
    <mergeCell ref="U81:X81"/>
    <mergeCell ref="AA81:AD81"/>
    <mergeCell ref="AG81:AJ81"/>
    <mergeCell ref="AM81:AP81"/>
    <mergeCell ref="P13:T13"/>
    <mergeCell ref="AR13:AZ13"/>
    <mergeCell ref="C5:F5"/>
    <mergeCell ref="J5:M5"/>
    <mergeCell ref="P5:S5"/>
    <mergeCell ref="W5:Z5"/>
    <mergeCell ref="I8:L8"/>
    <mergeCell ref="V8:Y8"/>
    <mergeCell ref="C13:G13"/>
    <mergeCell ref="B43:D43"/>
    <mergeCell ref="I43:K43"/>
    <mergeCell ref="O43:Q43"/>
    <mergeCell ref="V43:X43"/>
    <mergeCell ref="I44:K44"/>
    <mergeCell ref="O44:Q44"/>
    <mergeCell ref="V44:X44"/>
    <mergeCell ref="O45:S45"/>
    <mergeCell ref="O46:Q46"/>
    <mergeCell ref="O47:Q47"/>
    <mergeCell ref="O48:Q48"/>
    <mergeCell ref="O50:Q50"/>
    <mergeCell ref="S50:U50"/>
    <mergeCell ref="V50:X50"/>
    <mergeCell ref="O53:Q53"/>
    <mergeCell ref="V53:X53"/>
    <mergeCell ref="B44:D44"/>
    <mergeCell ref="B45:F45"/>
    <mergeCell ref="B46:D46"/>
    <mergeCell ref="I46:K46"/>
    <mergeCell ref="V46:X46"/>
    <mergeCell ref="I47:K47"/>
    <mergeCell ref="V47:X47"/>
    <mergeCell ref="B53:D53"/>
    <mergeCell ref="C55:F55"/>
    <mergeCell ref="J55:M55"/>
    <mergeCell ref="P55:S55"/>
    <mergeCell ref="W55:Z55"/>
    <mergeCell ref="C81:F81"/>
    <mergeCell ref="C93:F93"/>
    <mergeCell ref="C100:F10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5"/>
    <col customWidth="1" min="2" max="2" width="17.25"/>
    <col customWidth="1" min="3" max="3" width="10.25"/>
    <col customWidth="1" min="4" max="4" width="9.0"/>
    <col customWidth="1" min="5" max="5" width="13.88"/>
  </cols>
  <sheetData>
    <row r="1">
      <c r="A1" s="182"/>
      <c r="B1" s="183" t="s">
        <v>52</v>
      </c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</row>
    <row r="2" ht="7.5" customHeight="1">
      <c r="A2" s="182"/>
      <c r="B2" s="184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>
      <c r="A4" s="4"/>
      <c r="B4" s="5"/>
      <c r="C4" s="6"/>
      <c r="D4" s="6"/>
      <c r="E4" s="6"/>
      <c r="F4" s="6"/>
      <c r="G4" s="4"/>
      <c r="H4" s="4"/>
      <c r="I4" s="4"/>
      <c r="J4" s="4"/>
      <c r="K4" s="4"/>
      <c r="L4" s="4"/>
      <c r="M4" s="4"/>
      <c r="N4" s="4"/>
      <c r="O4" s="7"/>
      <c r="P4" s="4"/>
      <c r="Q4" s="83" t="s">
        <v>26</v>
      </c>
      <c r="R4" s="4"/>
      <c r="S4" s="83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ht="24.75" customHeight="1">
      <c r="A5" s="8"/>
      <c r="B5" s="9" t="s">
        <v>1</v>
      </c>
      <c r="C5" s="10">
        <v>350.0</v>
      </c>
      <c r="D5" s="11"/>
      <c r="E5" s="11"/>
      <c r="F5" s="12"/>
      <c r="G5" s="4"/>
      <c r="H5" s="13"/>
      <c r="I5" s="9" t="s">
        <v>1</v>
      </c>
      <c r="J5" s="10">
        <v>380.0</v>
      </c>
      <c r="K5" s="11"/>
      <c r="L5" s="11"/>
      <c r="M5" s="12"/>
      <c r="N5" s="4"/>
      <c r="O5" s="14"/>
      <c r="S5" s="83"/>
      <c r="T5" s="13"/>
      <c r="U5" s="15"/>
      <c r="Y5" s="4"/>
      <c r="Z5" s="16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>
      <c r="A6" s="4"/>
      <c r="B6" s="4"/>
      <c r="C6" s="7"/>
      <c r="D6" s="7"/>
      <c r="E6" s="7"/>
      <c r="F6" s="7"/>
      <c r="G6" s="4"/>
      <c r="H6" s="4"/>
      <c r="I6" s="4"/>
      <c r="J6" s="7"/>
      <c r="K6" s="7"/>
      <c r="L6" s="7"/>
      <c r="M6" s="7"/>
      <c r="N6" s="4"/>
      <c r="O6" s="7"/>
      <c r="P6" s="7"/>
      <c r="Q6" s="89" t="s">
        <v>9</v>
      </c>
      <c r="R6" s="89" t="s">
        <v>27</v>
      </c>
      <c r="S6" s="83" t="s">
        <v>22</v>
      </c>
      <c r="T6" s="4"/>
      <c r="U6" s="7"/>
      <c r="V6" s="7"/>
      <c r="W6" s="7"/>
      <c r="X6" s="7"/>
      <c r="Y6" s="4"/>
      <c r="Z6" s="17"/>
      <c r="AA6" s="17"/>
      <c r="AB6" s="17"/>
      <c r="AC6" s="18"/>
      <c r="AD6" s="18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>
      <c r="A7" s="4"/>
      <c r="B7" s="19"/>
      <c r="C7" s="20"/>
      <c r="D7" s="20"/>
      <c r="E7" s="7"/>
      <c r="F7" s="7"/>
      <c r="G7" s="4"/>
      <c r="H7" s="4"/>
      <c r="I7" s="19"/>
      <c r="J7" s="20"/>
      <c r="K7" s="20"/>
      <c r="L7" s="7"/>
      <c r="M7" s="7"/>
      <c r="N7" s="4"/>
      <c r="O7" s="7"/>
      <c r="P7" s="7"/>
      <c r="Q7" s="7"/>
      <c r="R7" s="7"/>
      <c r="S7" s="4"/>
      <c r="T7" s="4"/>
      <c r="U7" s="7"/>
      <c r="V7" s="7"/>
      <c r="W7" s="7"/>
      <c r="X7" s="7"/>
      <c r="Y7" s="4"/>
      <c r="Z7" s="17"/>
      <c r="AA7" s="17"/>
      <c r="AB7" s="17"/>
      <c r="AC7" s="18"/>
      <c r="AD7" s="18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>
      <c r="A8" s="21"/>
      <c r="B8" s="185" t="s">
        <v>1</v>
      </c>
      <c r="C8" s="23" t="s">
        <v>2</v>
      </c>
      <c r="D8" s="24">
        <v>380.0</v>
      </c>
      <c r="E8" s="186" t="s">
        <v>3</v>
      </c>
      <c r="F8" s="26">
        <v>10.0</v>
      </c>
      <c r="G8" s="4"/>
      <c r="H8" s="27"/>
      <c r="I8" s="185" t="s">
        <v>1</v>
      </c>
      <c r="J8" s="23" t="s">
        <v>2</v>
      </c>
      <c r="K8" s="24">
        <v>380.0</v>
      </c>
      <c r="L8" s="186" t="s">
        <v>3</v>
      </c>
      <c r="M8" s="26">
        <v>10.0</v>
      </c>
      <c r="N8" s="4"/>
      <c r="O8" s="28"/>
      <c r="P8" s="29"/>
      <c r="Q8" s="30"/>
      <c r="R8" s="31"/>
      <c r="S8" s="4"/>
      <c r="T8" s="27"/>
      <c r="U8" s="28"/>
      <c r="V8" s="29"/>
      <c r="W8" s="30"/>
      <c r="X8" s="31"/>
      <c r="Y8" s="4"/>
      <c r="Z8" s="32"/>
      <c r="AA8" s="33"/>
      <c r="AB8" s="32"/>
      <c r="AC8" s="34"/>
      <c r="AD8" s="32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>
      <c r="A9" s="4"/>
      <c r="B9" s="19"/>
      <c r="C9" s="20"/>
      <c r="D9" s="20"/>
      <c r="E9" s="20"/>
      <c r="F9" s="19"/>
      <c r="G9" s="4"/>
      <c r="H9" s="4"/>
      <c r="I9" s="19"/>
      <c r="J9" s="20"/>
      <c r="K9" s="20"/>
      <c r="L9" s="20"/>
      <c r="M9" s="19"/>
      <c r="N9" s="4"/>
      <c r="O9" s="7"/>
      <c r="P9" s="7"/>
      <c r="Q9" s="7"/>
      <c r="R9" s="4"/>
      <c r="S9" s="4"/>
      <c r="T9" s="4"/>
      <c r="U9" s="7"/>
      <c r="V9" s="7"/>
      <c r="W9" s="7"/>
      <c r="X9" s="4"/>
      <c r="Y9" s="4"/>
      <c r="Z9" s="32"/>
      <c r="AA9" s="33"/>
      <c r="AB9" s="32"/>
      <c r="AC9" s="34"/>
      <c r="AD9" s="32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>
      <c r="A10" s="21"/>
      <c r="B10" s="187" t="s">
        <v>4</v>
      </c>
      <c r="C10" s="36">
        <v>9.0</v>
      </c>
      <c r="D10" s="188" t="s">
        <v>5</v>
      </c>
      <c r="E10" s="38" t="s">
        <v>2</v>
      </c>
      <c r="F10" s="39">
        <f>D8/C10</f>
        <v>42.22222222</v>
      </c>
      <c r="G10" s="4"/>
      <c r="H10" s="40"/>
      <c r="I10" s="187" t="s">
        <v>4</v>
      </c>
      <c r="J10" s="36">
        <v>9.0</v>
      </c>
      <c r="K10" s="188" t="s">
        <v>5</v>
      </c>
      <c r="L10" s="38" t="s">
        <v>2</v>
      </c>
      <c r="M10" s="39">
        <f>K8/J10</f>
        <v>42.22222222</v>
      </c>
      <c r="N10" s="4"/>
      <c r="O10" s="41"/>
      <c r="P10" s="42"/>
      <c r="Q10" s="41"/>
      <c r="R10" s="42"/>
      <c r="S10" s="4"/>
      <c r="T10" s="40"/>
      <c r="U10" s="41"/>
      <c r="V10" s="42"/>
      <c r="W10" s="41"/>
      <c r="X10" s="42"/>
      <c r="Y10" s="4"/>
      <c r="Z10" s="32"/>
      <c r="AA10" s="4"/>
      <c r="AB10" s="32"/>
      <c r="AC10" s="34"/>
      <c r="AD10" s="32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>
      <c r="A11" s="4"/>
      <c r="B11" s="43"/>
      <c r="C11" s="43"/>
      <c r="D11" s="43"/>
      <c r="E11" s="43"/>
      <c r="F11" s="43"/>
      <c r="G11" s="4"/>
      <c r="H11" s="15"/>
      <c r="I11" s="43"/>
      <c r="J11" s="43"/>
      <c r="K11" s="43"/>
      <c r="L11" s="43"/>
      <c r="M11" s="43"/>
      <c r="N11" s="4"/>
      <c r="O11" s="44"/>
      <c r="P11" s="42"/>
      <c r="Q11" s="44"/>
      <c r="R11" s="42"/>
      <c r="S11" s="4"/>
      <c r="T11" s="15"/>
      <c r="U11" s="44"/>
      <c r="V11" s="42"/>
      <c r="W11" s="44"/>
      <c r="X11" s="42"/>
      <c r="Y11" s="4"/>
      <c r="Z11" s="4"/>
      <c r="AA11" s="4"/>
      <c r="AB11" s="4"/>
      <c r="AC11" s="34"/>
      <c r="AD11" s="32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30"/>
      <c r="AA12" s="31"/>
      <c r="AB12" s="45"/>
      <c r="AC12" s="46"/>
      <c r="AD12" s="47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ht="31.5" customHeight="1">
      <c r="A13" s="4"/>
      <c r="B13" s="48" t="s">
        <v>6</v>
      </c>
      <c r="C13" s="49" t="s">
        <v>53</v>
      </c>
      <c r="D13" s="50"/>
      <c r="E13" s="50"/>
      <c r="F13" s="50"/>
      <c r="G13" s="51"/>
      <c r="H13" s="13"/>
      <c r="I13" s="48" t="s">
        <v>6</v>
      </c>
      <c r="J13" s="49" t="s">
        <v>54</v>
      </c>
      <c r="K13" s="50"/>
      <c r="L13" s="50"/>
      <c r="M13" s="50"/>
      <c r="N13" s="51"/>
      <c r="O13" s="14"/>
      <c r="S13" s="4"/>
      <c r="T13" s="13"/>
      <c r="U13" s="15"/>
      <c r="Y13" s="4"/>
      <c r="Z13" s="7"/>
      <c r="AA13" s="7"/>
      <c r="AB13" s="7"/>
      <c r="AC13" s="7"/>
      <c r="AD13" s="7"/>
      <c r="AE13" s="7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16"/>
    </row>
    <row r="14">
      <c r="A14" s="4"/>
      <c r="B14" s="52" t="s">
        <v>9</v>
      </c>
      <c r="C14" s="53" t="s">
        <v>10</v>
      </c>
      <c r="D14" s="53" t="s">
        <v>11</v>
      </c>
      <c r="E14" s="53" t="s">
        <v>12</v>
      </c>
      <c r="F14" s="54"/>
      <c r="G14" s="53" t="s">
        <v>13</v>
      </c>
      <c r="H14" s="18"/>
      <c r="I14" s="52" t="s">
        <v>9</v>
      </c>
      <c r="J14" s="53" t="s">
        <v>10</v>
      </c>
      <c r="K14" s="53" t="s">
        <v>11</v>
      </c>
      <c r="L14" s="53" t="s">
        <v>12</v>
      </c>
      <c r="M14" s="54"/>
      <c r="N14" s="53" t="s">
        <v>13</v>
      </c>
      <c r="O14" s="18"/>
      <c r="P14" s="18"/>
      <c r="Q14" s="18"/>
      <c r="R14" s="18"/>
      <c r="S14" s="4"/>
      <c r="T14" s="18"/>
      <c r="U14" s="18"/>
      <c r="V14" s="18"/>
      <c r="W14" s="18"/>
      <c r="X14" s="18"/>
      <c r="Y14" s="4"/>
      <c r="Z14" s="7"/>
      <c r="AA14" s="7"/>
      <c r="AB14" s="7"/>
      <c r="AC14" s="7"/>
      <c r="AD14" s="7"/>
      <c r="AE14" s="7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17"/>
      <c r="AS14" s="17"/>
      <c r="AT14" s="17"/>
      <c r="AU14" s="17"/>
      <c r="AV14" s="17"/>
      <c r="AW14" s="17"/>
      <c r="AX14" s="17"/>
      <c r="AY14" s="17"/>
      <c r="AZ14" s="55"/>
    </row>
    <row r="15">
      <c r="A15" s="4"/>
      <c r="B15" s="56">
        <v>46119.0</v>
      </c>
      <c r="C15" s="57">
        <v>0.5416666666666666</v>
      </c>
      <c r="D15" s="58">
        <v>0.7027777777777777</v>
      </c>
      <c r="E15" s="59">
        <f t="shared" ref="E15:E19" si="1">(D15-C15)*24</f>
        <v>3.866666667</v>
      </c>
      <c r="F15" s="60">
        <f t="shared" ref="F15:F19" si="2">E15/$F$8</f>
        <v>0.3866666667</v>
      </c>
      <c r="G15" s="59">
        <f t="shared" ref="G15:G19" si="3">F15*$D$8</f>
        <v>146.9333333</v>
      </c>
      <c r="H15" s="32"/>
      <c r="I15" s="56">
        <v>45828.0</v>
      </c>
      <c r="J15" s="61">
        <v>0.3333333333333333</v>
      </c>
      <c r="K15" s="61">
        <v>0.6666666666666666</v>
      </c>
      <c r="L15" s="59">
        <f t="shared" ref="L15:L21" si="4">(K15-J15)*24</f>
        <v>8</v>
      </c>
      <c r="M15" s="60">
        <f t="shared" ref="M15:M21" si="5">L15/$F$8</f>
        <v>0.8</v>
      </c>
      <c r="N15" s="59">
        <f t="shared" ref="N15:N21" si="6">M15*$D$8</f>
        <v>304</v>
      </c>
      <c r="O15" s="62"/>
      <c r="P15" s="32"/>
      <c r="Q15" s="34"/>
      <c r="R15" s="32"/>
      <c r="S15" s="4"/>
      <c r="T15" s="32"/>
      <c r="U15" s="62"/>
      <c r="V15" s="32"/>
      <c r="W15" s="34"/>
      <c r="X15" s="32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7"/>
      <c r="AR15" s="32"/>
      <c r="AS15" s="33"/>
      <c r="AT15" s="33"/>
      <c r="AU15" s="32"/>
      <c r="AV15" s="63"/>
      <c r="AW15" s="32"/>
      <c r="AX15" s="33"/>
      <c r="AY15" s="32"/>
      <c r="AZ15" s="64"/>
    </row>
    <row r="16">
      <c r="A16" s="4"/>
      <c r="B16" s="56">
        <v>46120.0</v>
      </c>
      <c r="C16" s="58">
        <v>0.3416666666666667</v>
      </c>
      <c r="D16" s="58">
        <v>0.6763888888888889</v>
      </c>
      <c r="E16" s="59">
        <f t="shared" si="1"/>
        <v>8.033333333</v>
      </c>
      <c r="F16" s="60">
        <f t="shared" si="2"/>
        <v>0.8033333333</v>
      </c>
      <c r="G16" s="59">
        <f t="shared" si="3"/>
        <v>305.2666667</v>
      </c>
      <c r="H16" s="32"/>
      <c r="I16" s="56">
        <v>45831.0</v>
      </c>
      <c r="J16" s="58">
        <v>0.3263888888888889</v>
      </c>
      <c r="K16" s="58">
        <v>0.5416666666666666</v>
      </c>
      <c r="L16" s="59">
        <f t="shared" si="4"/>
        <v>5.166666667</v>
      </c>
      <c r="M16" s="60">
        <f t="shared" si="5"/>
        <v>0.5166666667</v>
      </c>
      <c r="N16" s="59">
        <f t="shared" si="6"/>
        <v>196.3333333</v>
      </c>
      <c r="O16" s="62"/>
      <c r="P16" s="32"/>
      <c r="Q16" s="34"/>
      <c r="R16" s="32"/>
      <c r="S16" s="4"/>
      <c r="T16" s="32"/>
      <c r="U16" s="62"/>
      <c r="V16" s="32"/>
      <c r="W16" s="34"/>
      <c r="X16" s="32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7"/>
      <c r="AR16" s="32"/>
      <c r="AS16" s="33"/>
      <c r="AT16" s="33"/>
      <c r="AU16" s="32"/>
      <c r="AV16" s="63"/>
      <c r="AW16" s="32"/>
      <c r="AX16" s="33"/>
      <c r="AY16" s="32"/>
      <c r="AZ16" s="64"/>
    </row>
    <row r="17">
      <c r="A17" s="4"/>
      <c r="B17" s="56">
        <v>46121.0</v>
      </c>
      <c r="C17" s="58">
        <v>0.30833333333333335</v>
      </c>
      <c r="D17" s="65">
        <v>0.5465277777777777</v>
      </c>
      <c r="E17" s="59">
        <f t="shared" si="1"/>
        <v>5.716666667</v>
      </c>
      <c r="F17" s="60">
        <f t="shared" si="2"/>
        <v>0.5716666667</v>
      </c>
      <c r="G17" s="59">
        <f t="shared" si="3"/>
        <v>217.2333333</v>
      </c>
      <c r="H17" s="32"/>
      <c r="I17" s="56">
        <v>45832.0</v>
      </c>
      <c r="J17" s="58">
        <v>0.3125</v>
      </c>
      <c r="K17" s="145">
        <v>0.7291666666666666</v>
      </c>
      <c r="L17" s="59">
        <f t="shared" si="4"/>
        <v>10</v>
      </c>
      <c r="M17" s="60">
        <f t="shared" si="5"/>
        <v>1</v>
      </c>
      <c r="N17" s="59">
        <f t="shared" si="6"/>
        <v>380</v>
      </c>
      <c r="O17" s="62"/>
      <c r="P17" s="32"/>
      <c r="Q17" s="34"/>
      <c r="R17" s="32"/>
      <c r="S17" s="4"/>
      <c r="T17" s="32"/>
      <c r="U17" s="62"/>
      <c r="V17" s="32"/>
      <c r="W17" s="34"/>
      <c r="X17" s="32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7"/>
      <c r="AR17" s="32"/>
      <c r="AS17" s="33"/>
      <c r="AT17" s="33"/>
      <c r="AU17" s="32"/>
      <c r="AV17" s="63"/>
      <c r="AW17" s="32"/>
      <c r="AX17" s="4"/>
      <c r="AY17" s="32"/>
      <c r="AZ17" s="64"/>
    </row>
    <row r="18">
      <c r="A18" s="4"/>
      <c r="B18" s="56">
        <v>46125.0</v>
      </c>
      <c r="C18" s="58">
        <v>0.4083333333333333</v>
      </c>
      <c r="D18" s="65">
        <v>0.625</v>
      </c>
      <c r="E18" s="59">
        <f t="shared" si="1"/>
        <v>5.2</v>
      </c>
      <c r="F18" s="60">
        <f t="shared" si="2"/>
        <v>0.52</v>
      </c>
      <c r="G18" s="59">
        <f t="shared" si="3"/>
        <v>197.6</v>
      </c>
      <c r="H18" s="32"/>
      <c r="I18" s="56">
        <v>45833.0</v>
      </c>
      <c r="J18" s="58">
        <v>0.3125</v>
      </c>
      <c r="K18" s="58">
        <v>0.5416666666666666</v>
      </c>
      <c r="L18" s="59">
        <f t="shared" si="4"/>
        <v>5.5</v>
      </c>
      <c r="M18" s="60">
        <f t="shared" si="5"/>
        <v>0.55</v>
      </c>
      <c r="N18" s="59">
        <f t="shared" si="6"/>
        <v>209</v>
      </c>
      <c r="O18" s="62"/>
      <c r="P18" s="32"/>
      <c r="Q18" s="34"/>
      <c r="R18" s="32"/>
      <c r="S18" s="4"/>
      <c r="T18" s="32"/>
      <c r="U18" s="62"/>
      <c r="V18" s="32"/>
      <c r="W18" s="34"/>
      <c r="X18" s="32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7"/>
      <c r="AR18" s="4"/>
      <c r="AS18" s="4"/>
      <c r="AT18" s="4"/>
      <c r="AU18" s="4"/>
      <c r="AV18" s="7"/>
      <c r="AW18" s="4"/>
      <c r="AX18" s="4"/>
      <c r="AY18" s="4"/>
      <c r="AZ18" s="67"/>
    </row>
    <row r="19">
      <c r="A19" s="4"/>
      <c r="B19" s="56">
        <v>46126.0</v>
      </c>
      <c r="C19" s="58">
        <v>0.3159722222222222</v>
      </c>
      <c r="D19" s="65">
        <v>0.7083333333333334</v>
      </c>
      <c r="E19" s="59">
        <f t="shared" si="1"/>
        <v>9.416666667</v>
      </c>
      <c r="F19" s="60">
        <f t="shared" si="2"/>
        <v>0.9416666667</v>
      </c>
      <c r="G19" s="59">
        <f t="shared" si="3"/>
        <v>357.8333333</v>
      </c>
      <c r="H19" s="32"/>
      <c r="I19" s="56">
        <v>45834.0</v>
      </c>
      <c r="J19" s="58">
        <v>0.3125</v>
      </c>
      <c r="K19" s="58">
        <v>0.7291666666666666</v>
      </c>
      <c r="L19" s="59">
        <f t="shared" si="4"/>
        <v>10</v>
      </c>
      <c r="M19" s="60">
        <f t="shared" si="5"/>
        <v>1</v>
      </c>
      <c r="N19" s="59">
        <f t="shared" si="6"/>
        <v>380</v>
      </c>
      <c r="O19" s="62"/>
      <c r="P19" s="32"/>
      <c r="Q19" s="34"/>
      <c r="R19" s="32"/>
      <c r="S19" s="4"/>
      <c r="T19" s="32"/>
      <c r="U19" s="68"/>
      <c r="V19" s="32"/>
      <c r="W19" s="34"/>
      <c r="X19" s="32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7"/>
      <c r="AR19" s="7"/>
      <c r="AS19" s="7"/>
      <c r="AT19" s="7"/>
      <c r="AU19" s="7"/>
      <c r="AV19" s="7"/>
      <c r="AW19" s="7"/>
      <c r="AX19" s="69"/>
      <c r="AY19" s="70"/>
      <c r="AZ19" s="47"/>
    </row>
    <row r="20">
      <c r="A20" s="4"/>
      <c r="B20" s="56"/>
      <c r="C20" s="61"/>
      <c r="D20" s="61"/>
      <c r="E20" s="59"/>
      <c r="F20" s="60"/>
      <c r="G20" s="59"/>
      <c r="H20" s="32"/>
      <c r="I20" s="56">
        <v>45835.0</v>
      </c>
      <c r="J20" s="58">
        <v>0.3159722222222222</v>
      </c>
      <c r="K20" s="58">
        <v>0.625</v>
      </c>
      <c r="L20" s="59">
        <f t="shared" si="4"/>
        <v>7.416666667</v>
      </c>
      <c r="M20" s="60">
        <f t="shared" si="5"/>
        <v>0.7416666667</v>
      </c>
      <c r="N20" s="59">
        <f t="shared" si="6"/>
        <v>281.8333333</v>
      </c>
      <c r="O20" s="62"/>
      <c r="P20" s="32"/>
      <c r="Q20" s="34"/>
      <c r="R20" s="32"/>
      <c r="S20" s="4"/>
      <c r="T20" s="32"/>
      <c r="U20" s="62"/>
      <c r="V20" s="32"/>
      <c r="W20" s="34"/>
      <c r="X20" s="32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7"/>
      <c r="AR20" s="7"/>
      <c r="AS20" s="7"/>
      <c r="AT20" s="7"/>
      <c r="AU20" s="7"/>
      <c r="AV20" s="7"/>
      <c r="AW20" s="7"/>
      <c r="AX20" s="69"/>
      <c r="AY20" s="4"/>
      <c r="AZ20" s="71"/>
    </row>
    <row r="21">
      <c r="A21" s="4"/>
      <c r="B21" s="56"/>
      <c r="C21" s="61"/>
      <c r="D21" s="61"/>
      <c r="E21" s="59"/>
      <c r="F21" s="60"/>
      <c r="G21" s="59"/>
      <c r="H21" s="32"/>
      <c r="I21" s="56">
        <v>45836.0</v>
      </c>
      <c r="J21" s="58">
        <v>0.034722222222222224</v>
      </c>
      <c r="K21" s="58">
        <v>0.5833333333333334</v>
      </c>
      <c r="L21" s="59">
        <f t="shared" si="4"/>
        <v>13.16666667</v>
      </c>
      <c r="M21" s="60">
        <f t="shared" si="5"/>
        <v>1.316666667</v>
      </c>
      <c r="N21" s="59">
        <f t="shared" si="6"/>
        <v>500.3333333</v>
      </c>
      <c r="O21" s="62"/>
      <c r="P21" s="32"/>
      <c r="Q21" s="34"/>
      <c r="R21" s="32"/>
      <c r="S21" s="4"/>
      <c r="T21" s="32"/>
      <c r="U21" s="68"/>
      <c r="V21" s="32"/>
      <c r="W21" s="34"/>
      <c r="X21" s="32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7"/>
      <c r="AR21" s="7"/>
      <c r="AS21" s="7"/>
      <c r="AT21" s="7"/>
      <c r="AU21" s="7"/>
      <c r="AV21" s="7"/>
      <c r="AW21" s="7"/>
      <c r="AX21" s="69"/>
      <c r="AY21" s="4"/>
      <c r="AZ21" s="72"/>
    </row>
    <row r="22">
      <c r="A22" s="4"/>
      <c r="B22" s="56"/>
      <c r="C22" s="61"/>
      <c r="D22" s="61"/>
      <c r="E22" s="59"/>
      <c r="F22" s="60"/>
      <c r="G22" s="59"/>
      <c r="H22" s="32"/>
      <c r="I22" s="56"/>
      <c r="J22" s="58"/>
      <c r="K22" s="58"/>
      <c r="L22" s="59"/>
      <c r="M22" s="60"/>
      <c r="N22" s="59"/>
      <c r="O22" s="62"/>
      <c r="P22" s="32"/>
      <c r="Q22" s="34"/>
      <c r="R22" s="32"/>
      <c r="S22" s="4"/>
      <c r="T22" s="32"/>
      <c r="U22" s="62"/>
      <c r="V22" s="32"/>
      <c r="W22" s="34"/>
      <c r="X22" s="32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7"/>
      <c r="AR22" s="7"/>
      <c r="AS22" s="7"/>
      <c r="AT22" s="7"/>
      <c r="AU22" s="7"/>
      <c r="AV22" s="7"/>
      <c r="AW22" s="7"/>
      <c r="AX22" s="7"/>
      <c r="AY22" s="7"/>
      <c r="AZ22" s="7"/>
    </row>
    <row r="23">
      <c r="A23" s="4"/>
      <c r="B23" s="56"/>
      <c r="C23" s="61"/>
      <c r="D23" s="61"/>
      <c r="E23" s="59"/>
      <c r="F23" s="60"/>
      <c r="G23" s="59"/>
      <c r="H23" s="32"/>
      <c r="I23" s="56">
        <v>45838.0</v>
      </c>
      <c r="J23" s="58">
        <v>0.4305555555555556</v>
      </c>
      <c r="K23" s="58">
        <v>0.7430555555555556</v>
      </c>
      <c r="L23" s="59">
        <f>(K23-J23)*24</f>
        <v>7.5</v>
      </c>
      <c r="M23" s="60">
        <f>L23/$F$8</f>
        <v>0.75</v>
      </c>
      <c r="N23" s="59">
        <f>M23*$D$8</f>
        <v>285</v>
      </c>
      <c r="O23" s="4"/>
      <c r="P23" s="4"/>
      <c r="Q23" s="4"/>
      <c r="R23" s="4"/>
      <c r="S23" s="4"/>
      <c r="T23" s="32"/>
      <c r="U23" s="33"/>
      <c r="V23" s="32"/>
      <c r="W23" s="34"/>
      <c r="X23" s="32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7"/>
      <c r="AR23" s="7"/>
      <c r="AS23" s="7"/>
      <c r="AT23" s="7"/>
      <c r="AU23" s="7"/>
      <c r="AV23" s="7"/>
      <c r="AW23" s="7"/>
      <c r="AX23" s="7"/>
      <c r="AY23" s="7"/>
      <c r="AZ23" s="7"/>
    </row>
    <row r="24">
      <c r="A24" s="4"/>
      <c r="B24" s="56"/>
      <c r="C24" s="61"/>
      <c r="D24" s="61"/>
      <c r="E24" s="59"/>
      <c r="F24" s="60"/>
      <c r="G24" s="59"/>
      <c r="H24" s="4"/>
      <c r="I24" s="189"/>
      <c r="J24" s="74"/>
      <c r="K24" s="190"/>
      <c r="L24" s="191"/>
      <c r="M24" s="192"/>
      <c r="N24" s="19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>
      <c r="A25" s="4"/>
      <c r="B25" s="56"/>
      <c r="C25" s="61"/>
      <c r="D25" s="61"/>
      <c r="E25" s="59"/>
      <c r="F25" s="60"/>
      <c r="G25" s="59"/>
      <c r="H25" s="4"/>
      <c r="I25" s="189"/>
      <c r="J25" s="74"/>
      <c r="K25" s="190"/>
      <c r="L25" s="191"/>
      <c r="M25" s="192"/>
      <c r="N25" s="191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>
      <c r="A26" s="4"/>
      <c r="B26" s="56"/>
      <c r="C26" s="61"/>
      <c r="D26" s="61"/>
      <c r="E26" s="59"/>
      <c r="F26" s="60"/>
      <c r="G26" s="59"/>
      <c r="H26" s="4"/>
      <c r="I26" s="189"/>
      <c r="J26" s="74"/>
      <c r="K26" s="190"/>
      <c r="L26" s="191"/>
      <c r="M26" s="192"/>
      <c r="N26" s="191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>
      <c r="A27" s="4"/>
      <c r="B27" s="56"/>
      <c r="C27" s="61"/>
      <c r="D27" s="61"/>
      <c r="E27" s="59"/>
      <c r="F27" s="60"/>
      <c r="G27" s="59"/>
      <c r="H27" s="4"/>
      <c r="I27" s="73"/>
      <c r="J27" s="74"/>
      <c r="K27" s="75"/>
      <c r="L27" s="76"/>
      <c r="M27" s="77"/>
      <c r="N27" s="76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7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>
      <c r="A29" s="4"/>
      <c r="B29" s="84" t="s">
        <v>15</v>
      </c>
      <c r="C29" s="79"/>
      <c r="D29" s="80"/>
      <c r="E29" s="81">
        <f>sum(E15:E27)</f>
        <v>32.23333333</v>
      </c>
      <c r="F29" s="42"/>
      <c r="G29" s="4"/>
      <c r="H29" s="4"/>
      <c r="I29" s="78" t="s">
        <v>15</v>
      </c>
      <c r="J29" s="79"/>
      <c r="K29" s="80"/>
      <c r="L29" s="81">
        <f>sum(L15:L27)</f>
        <v>66.75</v>
      </c>
      <c r="M29" s="42"/>
      <c r="N29" s="4"/>
      <c r="O29" s="4"/>
      <c r="P29" s="7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>
      <c r="A30" s="4"/>
      <c r="B30" s="84" t="s">
        <v>16</v>
      </c>
      <c r="C30" s="79"/>
      <c r="D30" s="80"/>
      <c r="E30" s="82">
        <f>E29/F8</f>
        <v>3.223333333</v>
      </c>
      <c r="F30" s="4"/>
      <c r="G30" s="4"/>
      <c r="H30" s="4"/>
      <c r="I30" s="84" t="s">
        <v>16</v>
      </c>
      <c r="J30" s="79"/>
      <c r="K30" s="80"/>
      <c r="L30" s="82">
        <f>L29/M8</f>
        <v>6.675</v>
      </c>
      <c r="M30" s="4"/>
      <c r="N30" s="4"/>
      <c r="O30" s="4"/>
      <c r="P30" s="7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>
      <c r="A31" s="48" t="s">
        <v>6</v>
      </c>
      <c r="B31" s="49" t="str">
        <f>C13</f>
        <v>April 7-14, 2026</v>
      </c>
      <c r="C31" s="50"/>
      <c r="D31" s="50"/>
      <c r="E31" s="50"/>
      <c r="F31" s="51"/>
      <c r="G31" s="4"/>
      <c r="H31" s="4"/>
      <c r="I31" s="4"/>
      <c r="J31" s="4"/>
      <c r="K31" s="4"/>
      <c r="L31" s="4"/>
      <c r="M31" s="4"/>
      <c r="N31" s="4"/>
      <c r="O31" s="4"/>
      <c r="P31" s="7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>
      <c r="A32" s="183" t="s">
        <v>55</v>
      </c>
      <c r="B32" s="78" t="s">
        <v>18</v>
      </c>
      <c r="C32" s="79"/>
      <c r="D32" s="80"/>
      <c r="E32" s="82">
        <f>E30*D8</f>
        <v>1224.866667</v>
      </c>
      <c r="F32" s="83"/>
      <c r="G32" s="4"/>
      <c r="H32" s="4"/>
      <c r="I32" s="84" t="s">
        <v>18</v>
      </c>
      <c r="J32" s="79"/>
      <c r="K32" s="80"/>
      <c r="L32" s="82">
        <f>L30*K8</f>
        <v>2536.5</v>
      </c>
      <c r="M32" s="83"/>
      <c r="N32" s="4"/>
      <c r="O32" s="4"/>
      <c r="P32" s="7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22.5" customHeight="1">
      <c r="A33" s="4"/>
      <c r="B33" s="87"/>
      <c r="C33" s="79"/>
      <c r="D33" s="80"/>
      <c r="E33" s="85"/>
      <c r="F33" s="193"/>
      <c r="G33" s="194"/>
      <c r="H33" s="13"/>
      <c r="I33" s="87" t="s">
        <v>56</v>
      </c>
      <c r="J33" s="79"/>
      <c r="K33" s="80"/>
      <c r="L33" s="85"/>
      <c r="M33" s="86"/>
      <c r="N33" s="4"/>
      <c r="O33" s="86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>
      <c r="A34" s="4"/>
      <c r="B34" s="4"/>
      <c r="C34" s="7"/>
      <c r="D34" s="7"/>
      <c r="E34" s="7"/>
      <c r="F34" s="7"/>
      <c r="G34" s="4"/>
      <c r="H34" s="4"/>
      <c r="I34" s="87"/>
      <c r="J34" s="79"/>
      <c r="K34" s="80"/>
      <c r="L34" s="85"/>
      <c r="M34" s="7"/>
      <c r="N34" s="4"/>
      <c r="O34" s="7"/>
      <c r="P34" s="7"/>
      <c r="Q34" s="7"/>
      <c r="R34" s="7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ht="26.25" customHeight="1">
      <c r="A35" s="4"/>
      <c r="B35" s="88" t="s">
        <v>21</v>
      </c>
      <c r="C35" s="79"/>
      <c r="D35" s="80"/>
      <c r="E35" s="82">
        <f>E32+E33</f>
        <v>1224.866667</v>
      </c>
      <c r="F35" s="31"/>
      <c r="G35" s="4"/>
      <c r="H35" s="27"/>
      <c r="I35" s="88" t="s">
        <v>21</v>
      </c>
      <c r="J35" s="79"/>
      <c r="K35" s="80"/>
      <c r="L35" s="82">
        <f>L32+L33+L34</f>
        <v>2536.5</v>
      </c>
      <c r="M35" s="31"/>
      <c r="N35" s="4"/>
      <c r="O35" s="28"/>
      <c r="P35" s="29"/>
      <c r="Q35" s="30"/>
      <c r="R35" s="31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7"/>
      <c r="AX35" s="7"/>
      <c r="AY35" s="7"/>
      <c r="AZ35" s="7"/>
    </row>
    <row r="36">
      <c r="A36" s="4"/>
      <c r="B36" s="4"/>
      <c r="C36" s="7"/>
      <c r="D36" s="7"/>
      <c r="E36" s="7"/>
      <c r="F36" s="4"/>
      <c r="G36" s="4"/>
      <c r="H36" s="4"/>
      <c r="I36" s="4"/>
      <c r="J36" s="7"/>
      <c r="K36" s="7"/>
      <c r="L36" s="7"/>
      <c r="M36" s="4"/>
      <c r="N36" s="4"/>
      <c r="O36" s="7"/>
      <c r="P36" s="7"/>
      <c r="Q36" s="7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7"/>
      <c r="AX36" s="7"/>
      <c r="AY36" s="7"/>
      <c r="AZ36" s="7"/>
    </row>
    <row r="37">
      <c r="A37" s="4"/>
      <c r="B37" s="40"/>
      <c r="C37" s="41"/>
      <c r="D37" s="42"/>
      <c r="E37" s="41"/>
      <c r="F37" s="42"/>
      <c r="G37" s="4"/>
      <c r="H37" s="40"/>
      <c r="I37" s="40"/>
      <c r="J37" s="41"/>
      <c r="K37" s="42"/>
      <c r="L37" s="41"/>
      <c r="M37" s="42"/>
      <c r="N37" s="4"/>
      <c r="O37" s="41"/>
      <c r="P37" s="42"/>
      <c r="Q37" s="41"/>
      <c r="R37" s="4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7"/>
      <c r="AX37" s="7"/>
      <c r="AY37" s="7"/>
      <c r="AZ37" s="7"/>
    </row>
    <row r="38" ht="27.0" customHeight="1">
      <c r="A38" s="4"/>
      <c r="B38" s="90" t="s">
        <v>22</v>
      </c>
      <c r="C38" s="79"/>
      <c r="D38" s="80"/>
      <c r="E38" s="85"/>
      <c r="F38" s="42"/>
      <c r="G38" s="4"/>
      <c r="H38" s="15"/>
      <c r="I38" s="90" t="s">
        <v>22</v>
      </c>
      <c r="J38" s="79"/>
      <c r="K38" s="80"/>
      <c r="L38" s="85" t="s">
        <v>23</v>
      </c>
      <c r="M38" s="42"/>
      <c r="N38" s="4"/>
      <c r="O38" s="44"/>
      <c r="P38" s="42"/>
      <c r="Q38" s="44"/>
      <c r="R38" s="4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7"/>
      <c r="AX38" s="7"/>
      <c r="AY38" s="7"/>
      <c r="AZ38" s="7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>
      <c r="A40" s="4"/>
      <c r="B40" s="91" t="s">
        <v>24</v>
      </c>
      <c r="C40" s="92"/>
      <c r="G40" s="4"/>
      <c r="H40" s="13"/>
      <c r="I40" s="91" t="s">
        <v>24</v>
      </c>
      <c r="J40" s="92"/>
      <c r="N40" s="4"/>
      <c r="O40" s="86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ht="6.75" customHeight="1">
      <c r="A41" s="4"/>
      <c r="B41" s="32"/>
      <c r="C41" s="62"/>
      <c r="D41" s="32"/>
      <c r="E41" s="34"/>
      <c r="F41" s="32"/>
      <c r="G41" s="4"/>
      <c r="H41" s="32"/>
      <c r="I41" s="32"/>
      <c r="J41" s="62"/>
      <c r="K41" s="32"/>
      <c r="L41" s="34"/>
      <c r="M41" s="32"/>
      <c r="N41" s="4"/>
      <c r="O41" s="62"/>
      <c r="P41" s="32"/>
      <c r="Q41" s="34"/>
      <c r="R41" s="3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7"/>
      <c r="AX41" s="7"/>
      <c r="AY41" s="7"/>
      <c r="AZ41" s="7"/>
    </row>
    <row r="42">
      <c r="A42" s="4"/>
      <c r="B42" s="93"/>
      <c r="C42" s="94"/>
      <c r="D42" s="94"/>
      <c r="E42" s="95"/>
      <c r="F42" s="32"/>
      <c r="G42" s="4"/>
      <c r="H42" s="32"/>
      <c r="I42" s="93"/>
      <c r="J42" s="94"/>
      <c r="K42" s="94"/>
      <c r="L42" s="95"/>
      <c r="M42" s="32"/>
      <c r="N42" s="4"/>
      <c r="O42" s="62"/>
      <c r="P42" s="32"/>
      <c r="Q42" s="34"/>
      <c r="R42" s="32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7"/>
      <c r="AX42" s="7"/>
      <c r="AY42" s="7"/>
      <c r="AZ42" s="7"/>
    </row>
    <row r="43">
      <c r="A43" s="4"/>
      <c r="B43" s="96"/>
      <c r="E43" s="97"/>
      <c r="F43" s="32"/>
      <c r="G43" s="4"/>
      <c r="H43" s="32"/>
      <c r="I43" s="96"/>
      <c r="L43" s="97"/>
      <c r="M43" s="32"/>
      <c r="N43" s="4"/>
      <c r="O43" s="62"/>
      <c r="P43" s="32"/>
      <c r="Q43" s="34"/>
      <c r="R43" s="3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7"/>
      <c r="AX43" s="7"/>
      <c r="AY43" s="7"/>
      <c r="AZ43" s="7"/>
    </row>
    <row r="44">
      <c r="A44" s="4"/>
      <c r="B44" s="96"/>
      <c r="E44" s="97"/>
      <c r="F44" s="32"/>
      <c r="G44" s="4"/>
      <c r="H44" s="32"/>
      <c r="I44" s="96"/>
      <c r="L44" s="97"/>
      <c r="M44" s="32"/>
      <c r="N44" s="4"/>
      <c r="O44" s="68"/>
      <c r="P44" s="32"/>
      <c r="Q44" s="34"/>
      <c r="R44" s="3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7"/>
      <c r="AX44" s="7"/>
      <c r="AY44" s="7"/>
      <c r="AZ44" s="7"/>
    </row>
    <row r="45">
      <c r="A45" s="4"/>
      <c r="B45" s="96"/>
      <c r="E45" s="97"/>
      <c r="F45" s="32"/>
      <c r="G45" s="4"/>
      <c r="H45" s="32"/>
      <c r="I45" s="96"/>
      <c r="L45" s="97"/>
      <c r="M45" s="32"/>
      <c r="N45" s="4"/>
      <c r="O45" s="62"/>
      <c r="P45" s="32"/>
      <c r="Q45" s="34"/>
      <c r="R45" s="3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>
      <c r="A46" s="4"/>
      <c r="B46" s="96"/>
      <c r="E46" s="97"/>
      <c r="F46" s="32"/>
      <c r="G46" s="4"/>
      <c r="H46" s="32"/>
      <c r="I46" s="96"/>
      <c r="L46" s="97"/>
      <c r="M46" s="32"/>
      <c r="N46" s="4"/>
      <c r="O46" s="62"/>
      <c r="P46" s="32"/>
      <c r="Q46" s="34"/>
      <c r="R46" s="3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>
      <c r="A47" s="4"/>
      <c r="B47" s="96"/>
      <c r="E47" s="97"/>
      <c r="F47" s="32"/>
      <c r="G47" s="4"/>
      <c r="H47" s="4"/>
      <c r="I47" s="96"/>
      <c r="L47" s="97"/>
      <c r="M47" s="32"/>
      <c r="N47" s="4"/>
      <c r="O47" s="62"/>
      <c r="P47" s="32"/>
      <c r="Q47" s="34"/>
      <c r="R47" s="32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>
      <c r="A48" s="4"/>
      <c r="B48" s="98"/>
      <c r="C48" s="79"/>
      <c r="D48" s="79"/>
      <c r="E48" s="80"/>
      <c r="F48" s="32"/>
      <c r="G48" s="4"/>
      <c r="H48" s="4"/>
      <c r="I48" s="98"/>
      <c r="J48" s="79"/>
      <c r="K48" s="79"/>
      <c r="L48" s="80"/>
      <c r="M48" s="32"/>
      <c r="N48" s="4"/>
      <c r="O48" s="62"/>
      <c r="P48" s="32"/>
      <c r="Q48" s="34"/>
      <c r="R48" s="3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>
      <c r="A49" s="4"/>
      <c r="B49" s="32"/>
      <c r="C49" s="62"/>
      <c r="D49" s="32"/>
      <c r="E49" s="34"/>
      <c r="F49" s="32"/>
      <c r="G49" s="4"/>
      <c r="H49" s="4"/>
      <c r="I49" s="68"/>
      <c r="J49" s="4"/>
      <c r="K49" s="4"/>
      <c r="L49" s="4"/>
      <c r="M49" s="4"/>
      <c r="N49" s="32"/>
      <c r="O49" s="62"/>
      <c r="P49" s="32"/>
      <c r="Q49" s="34"/>
      <c r="R49" s="32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>
      <c r="A50" s="4"/>
      <c r="B50" s="32"/>
      <c r="C50" s="62"/>
      <c r="D50" s="4"/>
      <c r="E50" s="34"/>
      <c r="F50" s="32"/>
      <c r="G50" s="4"/>
      <c r="H50" s="4"/>
      <c r="I50" s="68"/>
      <c r="J50" s="4"/>
      <c r="K50" s="4"/>
      <c r="L50" s="4"/>
      <c r="M50" s="4"/>
      <c r="N50" s="32"/>
      <c r="O50" s="62"/>
      <c r="P50" s="32"/>
      <c r="Q50" s="34"/>
      <c r="R50" s="32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32"/>
      <c r="O51" s="62"/>
      <c r="P51" s="32"/>
      <c r="Q51" s="34"/>
      <c r="R51" s="32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68"/>
      <c r="P52" s="4"/>
      <c r="Q52" s="3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99"/>
      <c r="O53" s="62"/>
      <c r="P53" s="32"/>
      <c r="Q53" s="34"/>
      <c r="R53" s="32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7"/>
      <c r="O54" s="62"/>
      <c r="P54" s="32"/>
      <c r="Q54" s="34"/>
      <c r="R54" s="32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68"/>
      <c r="P55" s="4"/>
      <c r="Q55" s="3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7"/>
      <c r="O56" s="62"/>
      <c r="P56" s="32"/>
      <c r="Q56" s="34"/>
      <c r="R56" s="32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>
      <c r="A59" s="4"/>
      <c r="B59" s="100"/>
      <c r="C59" s="101"/>
      <c r="G59" s="4"/>
      <c r="H59" s="13"/>
      <c r="I59" s="86"/>
      <c r="M59" s="4"/>
      <c r="N59" s="13"/>
      <c r="O59" s="16"/>
      <c r="S59" s="4"/>
      <c r="T59" s="100"/>
      <c r="U59" s="102"/>
      <c r="Y59" s="4"/>
      <c r="Z59" s="13"/>
      <c r="AA59" s="16"/>
      <c r="AE59" s="4"/>
      <c r="AF59" s="13"/>
      <c r="AG59" s="16"/>
      <c r="AK59" s="4"/>
      <c r="AL59" s="13"/>
      <c r="AM59" s="16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>
      <c r="A60" s="4"/>
      <c r="B60" s="4"/>
      <c r="C60" s="7"/>
      <c r="D60" s="7"/>
      <c r="E60" s="7"/>
      <c r="F60" s="7"/>
      <c r="G60" s="4"/>
      <c r="H60" s="4"/>
      <c r="I60" s="7"/>
      <c r="J60" s="7"/>
      <c r="K60" s="7"/>
      <c r="L60" s="7"/>
      <c r="M60" s="4"/>
      <c r="N60" s="4"/>
      <c r="O60" s="7"/>
      <c r="P60" s="7"/>
      <c r="Q60" s="7"/>
      <c r="R60" s="7"/>
      <c r="S60" s="4"/>
      <c r="T60" s="4"/>
      <c r="U60" s="7"/>
      <c r="V60" s="7"/>
      <c r="W60" s="7"/>
      <c r="X60" s="7"/>
      <c r="Y60" s="4"/>
      <c r="Z60" s="4"/>
      <c r="AA60" s="7"/>
      <c r="AB60" s="7"/>
      <c r="AC60" s="7"/>
      <c r="AD60" s="7"/>
      <c r="AE60" s="4"/>
      <c r="AF60" s="4"/>
      <c r="AG60" s="7"/>
      <c r="AH60" s="7"/>
      <c r="AI60" s="7"/>
      <c r="AJ60" s="7"/>
      <c r="AK60" s="4"/>
      <c r="AL60" s="4"/>
      <c r="AM60" s="7"/>
      <c r="AN60" s="7"/>
      <c r="AO60" s="7"/>
      <c r="AP60" s="7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>
      <c r="A61" s="4"/>
      <c r="B61" s="103"/>
      <c r="C61" s="28"/>
      <c r="D61" s="29"/>
      <c r="E61" s="30"/>
      <c r="F61" s="68"/>
      <c r="G61" s="4"/>
      <c r="H61" s="103"/>
      <c r="I61" s="28"/>
      <c r="J61" s="29"/>
      <c r="K61" s="30"/>
      <c r="L61" s="31"/>
      <c r="M61" s="4"/>
      <c r="N61" s="103"/>
      <c r="O61" s="28"/>
      <c r="P61" s="29"/>
      <c r="Q61" s="30"/>
      <c r="R61" s="31"/>
      <c r="S61" s="4"/>
      <c r="T61" s="103"/>
      <c r="U61" s="28"/>
      <c r="V61" s="29"/>
      <c r="W61" s="30"/>
      <c r="X61" s="31"/>
      <c r="Y61" s="4"/>
      <c r="Z61" s="27"/>
      <c r="AA61" s="28"/>
      <c r="AB61" s="29"/>
      <c r="AC61" s="30"/>
      <c r="AD61" s="31"/>
      <c r="AE61" s="4"/>
      <c r="AF61" s="27"/>
      <c r="AG61" s="28"/>
      <c r="AH61" s="29"/>
      <c r="AI61" s="30"/>
      <c r="AJ61" s="31"/>
      <c r="AK61" s="4"/>
      <c r="AL61" s="27"/>
      <c r="AM61" s="28"/>
      <c r="AN61" s="29"/>
      <c r="AO61" s="30"/>
      <c r="AP61" s="31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>
      <c r="A62" s="4"/>
      <c r="B62" s="4"/>
      <c r="C62" s="7"/>
      <c r="D62" s="7"/>
      <c r="E62" s="4"/>
      <c r="F62" s="4"/>
      <c r="G62" s="4"/>
      <c r="H62" s="4"/>
      <c r="I62" s="7"/>
      <c r="J62" s="7"/>
      <c r="K62" s="4"/>
      <c r="L62" s="4"/>
      <c r="M62" s="4"/>
      <c r="N62" s="4"/>
      <c r="O62" s="7"/>
      <c r="P62" s="7"/>
      <c r="Q62" s="4"/>
      <c r="R62" s="4"/>
      <c r="S62" s="4"/>
      <c r="T62" s="103"/>
      <c r="U62" s="28"/>
      <c r="V62" s="29"/>
      <c r="W62" s="103"/>
      <c r="Y62" s="4"/>
      <c r="Z62" s="4"/>
      <c r="AA62" s="7"/>
      <c r="AB62" s="7"/>
      <c r="AC62" s="4"/>
      <c r="AD62" s="4"/>
      <c r="AE62" s="4"/>
      <c r="AF62" s="4"/>
      <c r="AG62" s="7"/>
      <c r="AH62" s="7"/>
      <c r="AI62" s="4"/>
      <c r="AJ62" s="4"/>
      <c r="AK62" s="4"/>
      <c r="AL62" s="4"/>
      <c r="AM62" s="7"/>
      <c r="AN62" s="7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>
      <c r="A63" s="4"/>
      <c r="B63" s="104"/>
      <c r="C63" s="41"/>
      <c r="D63" s="42"/>
      <c r="E63" s="4"/>
      <c r="F63" s="4"/>
      <c r="G63" s="4"/>
      <c r="H63" s="104"/>
      <c r="I63" s="41"/>
      <c r="J63" s="42"/>
      <c r="K63" s="4"/>
      <c r="L63" s="4"/>
      <c r="M63" s="4"/>
      <c r="N63" s="104"/>
      <c r="O63" s="41"/>
      <c r="P63" s="42"/>
      <c r="Q63" s="4"/>
      <c r="R63" s="4"/>
      <c r="S63" s="4"/>
      <c r="T63" s="104"/>
      <c r="U63" s="41"/>
      <c r="V63" s="42"/>
      <c r="W63" s="41"/>
      <c r="X63" s="42"/>
      <c r="Y63" s="4"/>
      <c r="Z63" s="40"/>
      <c r="AA63" s="41"/>
      <c r="AB63" s="42"/>
      <c r="AC63" s="4"/>
      <c r="AD63" s="4"/>
      <c r="AE63" s="4"/>
      <c r="AF63" s="40"/>
      <c r="AG63" s="41"/>
      <c r="AH63" s="42"/>
      <c r="AI63" s="4"/>
      <c r="AJ63" s="4"/>
      <c r="AK63" s="4"/>
      <c r="AL63" s="40"/>
      <c r="AM63" s="41"/>
      <c r="AN63" s="42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>
      <c r="A64" s="4"/>
      <c r="B64" s="105"/>
      <c r="C64" s="44"/>
      <c r="D64" s="42"/>
      <c r="E64" s="4"/>
      <c r="F64" s="4"/>
      <c r="G64" s="4"/>
      <c r="H64" s="105"/>
      <c r="I64" s="44"/>
      <c r="J64" s="42"/>
      <c r="K64" s="4"/>
      <c r="L64" s="4"/>
      <c r="M64" s="4"/>
      <c r="N64" s="105"/>
      <c r="O64" s="44"/>
      <c r="P64" s="42"/>
      <c r="Q64" s="4"/>
      <c r="R64" s="4"/>
      <c r="S64" s="4"/>
      <c r="T64" s="105"/>
      <c r="U64" s="44"/>
      <c r="V64" s="42"/>
      <c r="W64" s="44"/>
      <c r="X64" s="42"/>
      <c r="Y64" s="4"/>
      <c r="Z64" s="15"/>
      <c r="AA64" s="44"/>
      <c r="AB64" s="42"/>
      <c r="AC64" s="4"/>
      <c r="AD64" s="4"/>
      <c r="AE64" s="4"/>
      <c r="AF64" s="15"/>
      <c r="AG64" s="44"/>
      <c r="AH64" s="42"/>
      <c r="AI64" s="4"/>
      <c r="AJ64" s="4"/>
      <c r="AK64" s="4"/>
      <c r="AL64" s="15"/>
      <c r="AM64" s="44"/>
      <c r="AN64" s="42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>
      <c r="A66" s="4"/>
      <c r="B66" s="100"/>
      <c r="C66" s="101"/>
      <c r="G66" s="4"/>
      <c r="H66" s="13"/>
      <c r="I66" s="86"/>
      <c r="M66" s="4"/>
      <c r="N66" s="13"/>
      <c r="O66" s="16"/>
      <c r="S66" s="4"/>
      <c r="T66" s="100"/>
      <c r="U66" s="102"/>
      <c r="Y66" s="4"/>
      <c r="Z66" s="13"/>
      <c r="AA66" s="16"/>
      <c r="AE66" s="4"/>
      <c r="AF66" s="13"/>
      <c r="AG66" s="16"/>
      <c r="AK66" s="4"/>
      <c r="AL66" s="13"/>
      <c r="AM66" s="16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>
      <c r="A67" s="4"/>
      <c r="B67" s="17"/>
      <c r="C67" s="17"/>
      <c r="D67" s="17"/>
      <c r="E67" s="18"/>
      <c r="F67" s="17"/>
      <c r="G67" s="4"/>
      <c r="H67" s="17"/>
      <c r="I67" s="17"/>
      <c r="J67" s="17"/>
      <c r="K67" s="18"/>
      <c r="L67" s="17"/>
      <c r="M67" s="4"/>
      <c r="N67" s="17"/>
      <c r="O67" s="17"/>
      <c r="P67" s="17"/>
      <c r="Q67" s="18"/>
      <c r="R67" s="17"/>
      <c r="S67" s="4"/>
      <c r="T67" s="17"/>
      <c r="U67" s="17"/>
      <c r="V67" s="17"/>
      <c r="W67" s="18"/>
      <c r="X67" s="17"/>
      <c r="Y67" s="4"/>
      <c r="Z67" s="17"/>
      <c r="AA67" s="17"/>
      <c r="AB67" s="17"/>
      <c r="AC67" s="18"/>
      <c r="AD67" s="17"/>
      <c r="AE67" s="4"/>
      <c r="AF67" s="17"/>
      <c r="AG67" s="17"/>
      <c r="AH67" s="17"/>
      <c r="AI67" s="18"/>
      <c r="AJ67" s="17"/>
      <c r="AK67" s="4"/>
      <c r="AL67" s="17"/>
      <c r="AM67" s="17"/>
      <c r="AN67" s="17"/>
      <c r="AO67" s="18"/>
      <c r="AP67" s="17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>
      <c r="A68" s="4"/>
      <c r="B68" s="32"/>
      <c r="C68" s="33"/>
      <c r="D68" s="32"/>
      <c r="E68" s="33"/>
      <c r="F68" s="32"/>
      <c r="G68" s="4"/>
      <c r="H68" s="32"/>
      <c r="I68" s="33"/>
      <c r="J68" s="32"/>
      <c r="K68" s="33"/>
      <c r="L68" s="32"/>
      <c r="M68" s="4"/>
      <c r="N68" s="32"/>
      <c r="O68" s="33"/>
      <c r="P68" s="32"/>
      <c r="Q68" s="33"/>
      <c r="R68" s="32"/>
      <c r="S68" s="4"/>
      <c r="T68" s="32"/>
      <c r="U68" s="33"/>
      <c r="V68" s="32"/>
      <c r="W68" s="33"/>
      <c r="X68" s="32"/>
      <c r="Y68" s="4"/>
      <c r="Z68" s="32"/>
      <c r="AA68" s="33"/>
      <c r="AB68" s="32"/>
      <c r="AC68" s="33"/>
      <c r="AD68" s="32"/>
      <c r="AE68" s="4"/>
      <c r="AF68" s="32"/>
      <c r="AG68" s="33"/>
      <c r="AH68" s="32"/>
      <c r="AI68" s="33"/>
      <c r="AJ68" s="32"/>
      <c r="AK68" s="4"/>
      <c r="AL68" s="32"/>
      <c r="AM68" s="33"/>
      <c r="AN68" s="32"/>
      <c r="AO68" s="33"/>
      <c r="AP68" s="32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>
      <c r="A69" s="4"/>
      <c r="B69" s="32"/>
      <c r="C69" s="33"/>
      <c r="D69" s="32"/>
      <c r="E69" s="33"/>
      <c r="F69" s="32"/>
      <c r="G69" s="4"/>
      <c r="H69" s="32"/>
      <c r="I69" s="33"/>
      <c r="J69" s="32"/>
      <c r="K69" s="33"/>
      <c r="L69" s="32"/>
      <c r="M69" s="4"/>
      <c r="N69" s="32"/>
      <c r="O69" s="33"/>
      <c r="P69" s="32"/>
      <c r="Q69" s="33"/>
      <c r="R69" s="32"/>
      <c r="S69" s="4"/>
      <c r="T69" s="32"/>
      <c r="U69" s="33"/>
      <c r="V69" s="32"/>
      <c r="W69" s="33"/>
      <c r="X69" s="32"/>
      <c r="Y69" s="4"/>
      <c r="Z69" s="32"/>
      <c r="AA69" s="33"/>
      <c r="AB69" s="32"/>
      <c r="AC69" s="33"/>
      <c r="AD69" s="32"/>
      <c r="AE69" s="4"/>
      <c r="AF69" s="32"/>
      <c r="AG69" s="33"/>
      <c r="AH69" s="32"/>
      <c r="AI69" s="33"/>
      <c r="AJ69" s="32"/>
      <c r="AK69" s="4"/>
      <c r="AL69" s="32"/>
      <c r="AM69" s="33"/>
      <c r="AN69" s="32"/>
      <c r="AO69" s="33"/>
      <c r="AP69" s="32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>
      <c r="A70" s="4"/>
      <c r="B70" s="32"/>
      <c r="C70" s="33"/>
      <c r="D70" s="32"/>
      <c r="E70" s="33"/>
      <c r="F70" s="32"/>
      <c r="G70" s="4"/>
      <c r="H70" s="32"/>
      <c r="I70" s="33"/>
      <c r="J70" s="32"/>
      <c r="K70" s="33"/>
      <c r="L70" s="32"/>
      <c r="M70" s="4"/>
      <c r="N70" s="32"/>
      <c r="O70" s="33"/>
      <c r="P70" s="32"/>
      <c r="Q70" s="33"/>
      <c r="R70" s="32"/>
      <c r="S70" s="4"/>
      <c r="T70" s="4"/>
      <c r="U70" s="4"/>
      <c r="V70" s="32"/>
      <c r="W70" s="4"/>
      <c r="X70" s="32"/>
      <c r="Y70" s="4"/>
      <c r="Z70" s="32"/>
      <c r="AA70" s="33"/>
      <c r="AB70" s="32"/>
      <c r="AC70" s="33"/>
      <c r="AD70" s="32"/>
      <c r="AE70" s="4"/>
      <c r="AF70" s="4"/>
      <c r="AG70" s="4"/>
      <c r="AH70" s="32"/>
      <c r="AI70" s="33"/>
      <c r="AJ70" s="32"/>
      <c r="AK70" s="4"/>
      <c r="AL70" s="32"/>
      <c r="AM70" s="33"/>
      <c r="AN70" s="32"/>
      <c r="AO70" s="33"/>
      <c r="AP70" s="32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>
      <c r="A71" s="4"/>
      <c r="B71" s="32"/>
      <c r="C71" s="33"/>
      <c r="D71" s="32"/>
      <c r="E71" s="33"/>
      <c r="F71" s="32"/>
      <c r="G71" s="4"/>
      <c r="H71" s="32"/>
      <c r="I71" s="33"/>
      <c r="J71" s="32"/>
      <c r="K71" s="33"/>
      <c r="L71" s="32"/>
      <c r="M71" s="4"/>
      <c r="N71" s="32"/>
      <c r="O71" s="33"/>
      <c r="P71" s="32"/>
      <c r="Q71" s="33"/>
      <c r="R71" s="32"/>
      <c r="S71" s="4"/>
      <c r="T71" s="4"/>
      <c r="U71" s="4"/>
      <c r="V71" s="32"/>
      <c r="W71" s="4"/>
      <c r="X71" s="32"/>
      <c r="Y71" s="4"/>
      <c r="Z71" s="32"/>
      <c r="AA71" s="33"/>
      <c r="AB71" s="32"/>
      <c r="AC71" s="33"/>
      <c r="AD71" s="32"/>
      <c r="AE71" s="4"/>
      <c r="AF71" s="4"/>
      <c r="AG71" s="4"/>
      <c r="AH71" s="32"/>
      <c r="AI71" s="33"/>
      <c r="AJ71" s="32"/>
      <c r="AK71" s="4"/>
      <c r="AL71" s="4"/>
      <c r="AM71" s="4"/>
      <c r="AN71" s="32"/>
      <c r="AO71" s="33"/>
      <c r="AP71" s="32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>
      <c r="A72" s="4"/>
      <c r="B72" s="4"/>
      <c r="C72" s="4"/>
      <c r="D72" s="4"/>
      <c r="E72" s="4"/>
      <c r="F72" s="4"/>
      <c r="G72" s="4"/>
      <c r="H72" s="32"/>
      <c r="I72" s="33"/>
      <c r="J72" s="32"/>
      <c r="K72" s="33"/>
      <c r="L72" s="32"/>
      <c r="M72" s="4"/>
      <c r="N72" s="32"/>
      <c r="O72" s="33"/>
      <c r="P72" s="32"/>
      <c r="Q72" s="33"/>
      <c r="R72" s="32"/>
      <c r="S72" s="4"/>
      <c r="T72" s="4"/>
      <c r="U72" s="4"/>
      <c r="V72" s="32"/>
      <c r="W72" s="4"/>
      <c r="X72" s="32"/>
      <c r="Y72" s="4"/>
      <c r="Z72" s="32"/>
      <c r="AA72" s="33"/>
      <c r="AB72" s="32"/>
      <c r="AC72" s="33"/>
      <c r="AD72" s="32"/>
      <c r="AE72" s="4"/>
      <c r="AF72" s="32"/>
      <c r="AG72" s="33"/>
      <c r="AH72" s="32"/>
      <c r="AI72" s="33"/>
      <c r="AJ72" s="32"/>
      <c r="AK72" s="4"/>
      <c r="AL72" s="32"/>
      <c r="AM72" s="33"/>
      <c r="AN72" s="32"/>
      <c r="AO72" s="33"/>
      <c r="AP72" s="32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32"/>
      <c r="U73" s="33"/>
      <c r="V73" s="32"/>
      <c r="W73" s="62"/>
      <c r="X73" s="32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32"/>
      <c r="U74" s="33"/>
      <c r="V74" s="32"/>
      <c r="W74" s="33"/>
      <c r="X74" s="32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32"/>
      <c r="U75" s="33"/>
      <c r="V75" s="32"/>
      <c r="W75" s="33"/>
      <c r="X75" s="32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>
      <c r="A78" s="4"/>
      <c r="B78" s="13"/>
      <c r="C78" s="8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>
      <c r="A79" s="4"/>
      <c r="B79" s="4"/>
      <c r="C79" s="7"/>
      <c r="D79" s="7"/>
      <c r="E79" s="7"/>
      <c r="F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>
      <c r="A80" s="4"/>
      <c r="B80" s="27"/>
      <c r="C80" s="28"/>
      <c r="D80" s="29"/>
      <c r="E80" s="30"/>
      <c r="F80" s="3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>
      <c r="A81" s="4"/>
      <c r="B81" s="4"/>
      <c r="C81" s="7"/>
      <c r="D81" s="7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>
      <c r="A82" s="4"/>
      <c r="B82" s="40"/>
      <c r="C82" s="41"/>
      <c r="D82" s="4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>
      <c r="A83" s="4"/>
      <c r="B83" s="15"/>
      <c r="C83" s="44"/>
      <c r="D83" s="4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>
      <c r="A85" s="4"/>
      <c r="B85" s="13"/>
      <c r="C85" s="8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>
      <c r="A86" s="4"/>
      <c r="B86" s="17"/>
      <c r="C86" s="17"/>
      <c r="D86" s="17"/>
      <c r="E86" s="18"/>
      <c r="F86" s="1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>
      <c r="A87" s="4"/>
      <c r="B87" s="32"/>
      <c r="C87" s="33"/>
      <c r="D87" s="32"/>
      <c r="E87" s="33"/>
      <c r="F87" s="3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>
      <c r="A88" s="4"/>
      <c r="B88" s="32"/>
      <c r="C88" s="33"/>
      <c r="D88" s="32"/>
      <c r="E88" s="33"/>
      <c r="F88" s="3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>
      <c r="A89" s="4"/>
      <c r="B89" s="32"/>
      <c r="C89" s="33"/>
      <c r="D89" s="32"/>
      <c r="E89" s="33"/>
      <c r="F89" s="3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>
      <c r="A90" s="4"/>
      <c r="B90" s="32"/>
      <c r="C90" s="33"/>
      <c r="D90" s="32"/>
      <c r="E90" s="33"/>
      <c r="F90" s="3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  <c r="AA1001" s="106"/>
      <c r="AB1001" s="106"/>
      <c r="AC1001" s="106"/>
      <c r="AD1001" s="106"/>
      <c r="AE1001" s="106"/>
      <c r="AF1001" s="106"/>
      <c r="AG1001" s="106"/>
      <c r="AH1001" s="106"/>
      <c r="AI1001" s="106"/>
      <c r="AJ1001" s="106"/>
      <c r="AK1001" s="106"/>
      <c r="AL1001" s="106"/>
      <c r="AM1001" s="106"/>
      <c r="AN1001" s="106"/>
      <c r="AO1001" s="106"/>
      <c r="AP1001" s="106"/>
      <c r="AQ1001" s="106"/>
      <c r="AR1001" s="106"/>
      <c r="AS1001" s="106"/>
      <c r="AT1001" s="106"/>
      <c r="AU1001" s="106"/>
      <c r="AV1001" s="106"/>
      <c r="AW1001" s="106"/>
      <c r="AX1001" s="106"/>
      <c r="AY1001" s="106"/>
      <c r="AZ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  <c r="AA1002" s="106"/>
      <c r="AB1002" s="106"/>
      <c r="AC1002" s="106"/>
      <c r="AD1002" s="106"/>
      <c r="AE1002" s="106"/>
      <c r="AF1002" s="106"/>
      <c r="AG1002" s="106"/>
      <c r="AH1002" s="106"/>
      <c r="AI1002" s="106"/>
      <c r="AJ1002" s="106"/>
      <c r="AK1002" s="106"/>
      <c r="AL1002" s="106"/>
      <c r="AM1002" s="106"/>
      <c r="AN1002" s="106"/>
      <c r="AO1002" s="106"/>
      <c r="AP1002" s="106"/>
      <c r="AQ1002" s="106"/>
      <c r="AR1002" s="106"/>
      <c r="AS1002" s="106"/>
      <c r="AT1002" s="106"/>
      <c r="AU1002" s="106"/>
      <c r="AV1002" s="106"/>
      <c r="AW1002" s="106"/>
      <c r="AX1002" s="106"/>
      <c r="AY1002" s="106"/>
      <c r="AZ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  <c r="AA1003" s="106"/>
      <c r="AB1003" s="106"/>
      <c r="AC1003" s="106"/>
      <c r="AD1003" s="106"/>
      <c r="AE1003" s="106"/>
      <c r="AF1003" s="106"/>
      <c r="AG1003" s="106"/>
      <c r="AH1003" s="106"/>
      <c r="AI1003" s="106"/>
      <c r="AJ1003" s="106"/>
      <c r="AK1003" s="106"/>
      <c r="AL1003" s="106"/>
      <c r="AM1003" s="106"/>
      <c r="AN1003" s="106"/>
      <c r="AO1003" s="106"/>
      <c r="AP1003" s="106"/>
      <c r="AQ1003" s="106"/>
      <c r="AR1003" s="106"/>
      <c r="AS1003" s="106"/>
      <c r="AT1003" s="106"/>
      <c r="AU1003" s="106"/>
      <c r="AV1003" s="106"/>
      <c r="AW1003" s="106"/>
      <c r="AX1003" s="106"/>
      <c r="AY1003" s="106"/>
      <c r="AZ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  <c r="AA1004" s="106"/>
      <c r="AB1004" s="106"/>
      <c r="AC1004" s="106"/>
      <c r="AD1004" s="106"/>
      <c r="AE1004" s="106"/>
      <c r="AF1004" s="106"/>
      <c r="AG1004" s="106"/>
      <c r="AH1004" s="106"/>
      <c r="AI1004" s="106"/>
      <c r="AJ1004" s="106"/>
      <c r="AK1004" s="106"/>
      <c r="AL1004" s="106"/>
      <c r="AM1004" s="106"/>
      <c r="AN1004" s="106"/>
      <c r="AO1004" s="106"/>
      <c r="AP1004" s="106"/>
      <c r="AQ1004" s="106"/>
      <c r="AR1004" s="106"/>
      <c r="AS1004" s="106"/>
      <c r="AT1004" s="106"/>
      <c r="AU1004" s="106"/>
      <c r="AV1004" s="106"/>
      <c r="AW1004" s="106"/>
      <c r="AX1004" s="106"/>
      <c r="AY1004" s="106"/>
      <c r="AZ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  <c r="AA1005" s="106"/>
      <c r="AB1005" s="106"/>
      <c r="AC1005" s="106"/>
      <c r="AD1005" s="106"/>
      <c r="AE1005" s="106"/>
      <c r="AF1005" s="106"/>
      <c r="AG1005" s="106"/>
      <c r="AH1005" s="106"/>
      <c r="AI1005" s="106"/>
      <c r="AJ1005" s="106"/>
      <c r="AK1005" s="106"/>
      <c r="AL1005" s="106"/>
      <c r="AM1005" s="106"/>
      <c r="AN1005" s="106"/>
      <c r="AO1005" s="106"/>
      <c r="AP1005" s="106"/>
      <c r="AQ1005" s="106"/>
      <c r="AR1005" s="106"/>
      <c r="AS1005" s="106"/>
      <c r="AT1005" s="106"/>
      <c r="AU1005" s="106"/>
      <c r="AV1005" s="106"/>
      <c r="AW1005" s="106"/>
      <c r="AX1005" s="106"/>
      <c r="AY1005" s="106"/>
      <c r="AZ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  <c r="AA1006" s="106"/>
      <c r="AB1006" s="106"/>
      <c r="AC1006" s="106"/>
      <c r="AD1006" s="106"/>
      <c r="AE1006" s="106"/>
      <c r="AF1006" s="106"/>
      <c r="AG1006" s="106"/>
      <c r="AH1006" s="106"/>
      <c r="AI1006" s="106"/>
      <c r="AJ1006" s="106"/>
      <c r="AK1006" s="106"/>
      <c r="AL1006" s="106"/>
      <c r="AM1006" s="106"/>
      <c r="AN1006" s="106"/>
      <c r="AO1006" s="106"/>
      <c r="AP1006" s="106"/>
      <c r="AQ1006" s="106"/>
      <c r="AR1006" s="106"/>
      <c r="AS1006" s="106"/>
      <c r="AT1006" s="106"/>
      <c r="AU1006" s="106"/>
      <c r="AV1006" s="106"/>
      <c r="AW1006" s="106"/>
      <c r="AX1006" s="106"/>
      <c r="AY1006" s="106"/>
      <c r="AZ1006" s="106"/>
    </row>
  </sheetData>
  <mergeCells count="47">
    <mergeCell ref="C78:F78"/>
    <mergeCell ref="C85:F85"/>
    <mergeCell ref="B33:D33"/>
    <mergeCell ref="B35:D35"/>
    <mergeCell ref="B38:D38"/>
    <mergeCell ref="C40:F40"/>
    <mergeCell ref="B42:E48"/>
    <mergeCell ref="C59:F59"/>
    <mergeCell ref="C66:F66"/>
    <mergeCell ref="O13:R13"/>
    <mergeCell ref="U13:X13"/>
    <mergeCell ref="AR13:AZ13"/>
    <mergeCell ref="C5:F5"/>
    <mergeCell ref="J5:M5"/>
    <mergeCell ref="O5:R5"/>
    <mergeCell ref="U5:X5"/>
    <mergeCell ref="Z5:AD5"/>
    <mergeCell ref="C13:G13"/>
    <mergeCell ref="J13:N13"/>
    <mergeCell ref="I32:K32"/>
    <mergeCell ref="I33:K33"/>
    <mergeCell ref="O33:R33"/>
    <mergeCell ref="B29:D29"/>
    <mergeCell ref="I29:K29"/>
    <mergeCell ref="B30:D30"/>
    <mergeCell ref="I30:K30"/>
    <mergeCell ref="B31:F31"/>
    <mergeCell ref="B32:D32"/>
    <mergeCell ref="I34:K34"/>
    <mergeCell ref="U59:X59"/>
    <mergeCell ref="AA59:AD59"/>
    <mergeCell ref="AG59:AJ59"/>
    <mergeCell ref="AM59:AP59"/>
    <mergeCell ref="W62:X62"/>
    <mergeCell ref="I66:L66"/>
    <mergeCell ref="O66:R66"/>
    <mergeCell ref="U66:X66"/>
    <mergeCell ref="AA66:AD66"/>
    <mergeCell ref="AG66:AJ66"/>
    <mergeCell ref="AM66:AP66"/>
    <mergeCell ref="I35:K35"/>
    <mergeCell ref="I38:K38"/>
    <mergeCell ref="J40:M40"/>
    <mergeCell ref="O40:R40"/>
    <mergeCell ref="I42:L48"/>
    <mergeCell ref="I59:L59"/>
    <mergeCell ref="O59:R59"/>
  </mergeCells>
  <drawing r:id="rId1"/>
</worksheet>
</file>